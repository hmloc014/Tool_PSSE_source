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D:\Hang\3. Programs\SourceCode\Tool-PSSE-2\bao cao\"/>
    </mc:Choice>
  </mc:AlternateContent>
  <xr:revisionPtr revIDLastSave="0" documentId="13_ncr:1_{D79D9524-4FB4-4FD3-80FF-5FA7C9E48037}" xr6:coauthVersionLast="47" xr6:coauthVersionMax="47" xr10:uidLastSave="{00000000-0000-0000-0000-000000000000}"/>
  <bookViews>
    <workbookView xWindow="-120" yWindow="-120" windowWidth="29040" windowHeight="15840" firstSheet="1" activeTab="4" xr2:uid="{00000000-000D-0000-FFFF-FFFF00000000}"/>
  </bookViews>
  <sheets>
    <sheet name="Sheet1" sheetId="1" r:id="rId1"/>
    <sheet name="Sheet2" sheetId="2" r:id="rId2"/>
    <sheet name="Trang_tính1" sheetId="5" r:id="rId3"/>
    <sheet name="Sheet3" sheetId="3" r:id="rId4"/>
    <sheet name="Sheet4" sheetId="4" r:id="rId5"/>
  </sheets>
  <definedNames>
    <definedName name="_xlnm._FilterDatabase" localSheetId="1" hidden="1">Sheet2!$A$2:$Z$44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 i="4" l="1"/>
  <c r="W7" i="4"/>
  <c r="X6" i="4"/>
  <c r="W6" i="4"/>
  <c r="X5" i="4"/>
  <c r="W5" i="4"/>
  <c r="X4" i="4"/>
  <c r="W4" i="4"/>
  <c r="W3" i="4"/>
  <c r="AN8" i="2"/>
  <c r="AO1" i="2"/>
  <c r="F2" i="4"/>
  <c r="F18" i="4"/>
  <c r="P46" i="2"/>
  <c r="P45" i="2"/>
  <c r="P44" i="2"/>
  <c r="P39" i="2"/>
  <c r="P37" i="2"/>
  <c r="P35" i="2"/>
  <c r="P32" i="2"/>
  <c r="P29" i="2"/>
  <c r="P28" i="2"/>
  <c r="P25" i="2"/>
  <c r="P24" i="2"/>
  <c r="P21" i="2"/>
  <c r="P20" i="2"/>
  <c r="P17" i="2"/>
  <c r="P16" i="2"/>
  <c r="P13" i="2"/>
  <c r="P12" i="2"/>
  <c r="P11" i="2"/>
  <c r="P10" i="2"/>
  <c r="L44" i="2"/>
  <c r="L39" i="2"/>
  <c r="L37" i="2"/>
  <c r="L35" i="2"/>
  <c r="L32" i="2"/>
  <c r="L29" i="2"/>
  <c r="L28" i="2"/>
  <c r="L25" i="2"/>
  <c r="L24" i="2"/>
  <c r="L21" i="2"/>
  <c r="L20" i="2"/>
  <c r="L17" i="2"/>
  <c r="L16" i="2"/>
  <c r="L13" i="2"/>
  <c r="L12" i="2"/>
  <c r="L11" i="2"/>
  <c r="L10" i="2"/>
  <c r="H46" i="2"/>
  <c r="H45" i="2"/>
  <c r="H44" i="2"/>
  <c r="H39" i="2"/>
  <c r="H37" i="2"/>
  <c r="H35" i="2"/>
  <c r="H32" i="2"/>
  <c r="H29" i="2"/>
  <c r="H28" i="2"/>
  <c r="H25" i="2"/>
  <c r="H24" i="2"/>
  <c r="H21" i="2"/>
  <c r="H20" i="2"/>
  <c r="H17" i="2"/>
  <c r="H16" i="2"/>
  <c r="H13" i="2"/>
  <c r="H12" i="2"/>
  <c r="H11" i="2"/>
  <c r="H10" i="2"/>
  <c r="P5" i="2"/>
  <c r="L5" i="2"/>
  <c r="H5" i="2"/>
  <c r="H47" i="2" s="1"/>
  <c r="G5" i="4" s="1"/>
  <c r="H5" i="4" s="1"/>
  <c r="AB44" i="2"/>
  <c r="AB39" i="2"/>
  <c r="AB37" i="2"/>
  <c r="AB35" i="2"/>
  <c r="AB32" i="2"/>
  <c r="AB28" i="2"/>
  <c r="AB29" i="2"/>
  <c r="AB24" i="2"/>
  <c r="AB25" i="2"/>
  <c r="AB20" i="2"/>
  <c r="AB21" i="2"/>
  <c r="AB16" i="2"/>
  <c r="AB17" i="2"/>
  <c r="AB10" i="2"/>
  <c r="AB11" i="2"/>
  <c r="AB12" i="2"/>
  <c r="AB13" i="2"/>
  <c r="AB5" i="2"/>
  <c r="AB47" i="2" s="1"/>
  <c r="G13" i="4" s="1"/>
  <c r="X44" i="2"/>
  <c r="X39" i="2"/>
  <c r="X37" i="2"/>
  <c r="X35" i="2"/>
  <c r="X32" i="2"/>
  <c r="X29" i="2"/>
  <c r="X28" i="2"/>
  <c r="X25" i="2"/>
  <c r="X24" i="2"/>
  <c r="X21" i="2"/>
  <c r="X20" i="2"/>
  <c r="X17" i="2"/>
  <c r="X16" i="2"/>
  <c r="X13" i="2"/>
  <c r="X12" i="2"/>
  <c r="X11" i="2"/>
  <c r="X10" i="2"/>
  <c r="X5" i="2"/>
  <c r="X47" i="2" s="1"/>
  <c r="G11" i="4" s="1"/>
  <c r="T44" i="2"/>
  <c r="T39" i="2"/>
  <c r="T37" i="2"/>
  <c r="T35" i="2"/>
  <c r="T32" i="2"/>
  <c r="T29" i="2"/>
  <c r="T28" i="2"/>
  <c r="T25" i="2"/>
  <c r="T24" i="2"/>
  <c r="T21" i="2"/>
  <c r="T20" i="2"/>
  <c r="T17" i="2"/>
  <c r="T16" i="2"/>
  <c r="T13" i="2"/>
  <c r="T12" i="2"/>
  <c r="T11" i="2"/>
  <c r="T10" i="2"/>
  <c r="T5" i="2"/>
  <c r="Y47" i="2"/>
  <c r="U47" i="2"/>
  <c r="Q47" i="2"/>
  <c r="M47" i="2"/>
  <c r="I47" i="2"/>
  <c r="W25" i="2"/>
  <c r="W22" i="2"/>
  <c r="W16" i="2"/>
  <c r="W12" i="2"/>
  <c r="W4" i="2"/>
  <c r="W3" i="2"/>
  <c r="S5" i="2"/>
  <c r="S4" i="2"/>
  <c r="S3" i="2"/>
  <c r="O9" i="2"/>
  <c r="O5" i="2"/>
  <c r="O4" i="2"/>
  <c r="O3"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Z47" i="2" s="1"/>
  <c r="E13" i="4" s="1"/>
  <c r="E12" i="4" s="1"/>
  <c r="AA4" i="2"/>
  <c r="AA3" i="2"/>
  <c r="W44" i="2"/>
  <c r="W43" i="2"/>
  <c r="W42" i="2"/>
  <c r="W41" i="2"/>
  <c r="W40" i="2"/>
  <c r="W39" i="2"/>
  <c r="W38" i="2"/>
  <c r="W37" i="2"/>
  <c r="W36" i="2"/>
  <c r="W35" i="2"/>
  <c r="W34" i="2"/>
  <c r="W33" i="2"/>
  <c r="W32" i="2"/>
  <c r="W31" i="2"/>
  <c r="W30" i="2"/>
  <c r="W29" i="2"/>
  <c r="W28" i="2"/>
  <c r="W27" i="2"/>
  <c r="W26" i="2"/>
  <c r="W24" i="2"/>
  <c r="W23" i="2"/>
  <c r="W21" i="2"/>
  <c r="W20" i="2"/>
  <c r="W19" i="2"/>
  <c r="W18" i="2"/>
  <c r="W17" i="2"/>
  <c r="W15" i="2"/>
  <c r="W14" i="2"/>
  <c r="W13" i="2"/>
  <c r="W11" i="2"/>
  <c r="W10" i="2"/>
  <c r="W9" i="2"/>
  <c r="W8" i="2"/>
  <c r="W7" i="2"/>
  <c r="W6" i="2"/>
  <c r="W5" i="2"/>
  <c r="V47" i="2" s="1"/>
  <c r="E11" i="4" s="1"/>
  <c r="E10" i="4" s="1"/>
  <c r="F10" i="4" s="1"/>
  <c r="S6" i="4" s="1"/>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8" i="2"/>
  <c r="O7" i="2"/>
  <c r="O6"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3" i="2"/>
  <c r="K12" i="2"/>
  <c r="K11" i="2"/>
  <c r="K10" i="2"/>
  <c r="K9" i="2"/>
  <c r="K8" i="2"/>
  <c r="K7" i="2"/>
  <c r="K6" i="2"/>
  <c r="K5" i="2"/>
  <c r="K4" i="2"/>
  <c r="K3" i="2"/>
  <c r="K14" i="2"/>
  <c r="G44" i="2"/>
  <c r="G43" i="2"/>
  <c r="G41" i="2"/>
  <c r="G42" i="2"/>
  <c r="G40" i="2"/>
  <c r="G39" i="2"/>
  <c r="G38" i="2"/>
  <c r="G37" i="2"/>
  <c r="G32" i="2"/>
  <c r="G33" i="2"/>
  <c r="G34" i="2"/>
  <c r="G35" i="2"/>
  <c r="G36" i="2"/>
  <c r="G31" i="2"/>
  <c r="G28" i="2"/>
  <c r="G29" i="2"/>
  <c r="G30" i="2"/>
  <c r="G27" i="2"/>
  <c r="G24" i="2"/>
  <c r="G25" i="2"/>
  <c r="G26" i="2"/>
  <c r="G23" i="2"/>
  <c r="G20" i="2"/>
  <c r="G21" i="2"/>
  <c r="G22" i="2"/>
  <c r="G19" i="2"/>
  <c r="G16" i="2"/>
  <c r="G17" i="2"/>
  <c r="G18" i="2"/>
  <c r="G15" i="2"/>
  <c r="G11" i="2"/>
  <c r="G12" i="2"/>
  <c r="G13" i="2"/>
  <c r="G14" i="2"/>
  <c r="G10" i="2"/>
  <c r="G8" i="2"/>
  <c r="G9" i="2"/>
  <c r="G7" i="2"/>
  <c r="G4" i="2"/>
  <c r="G5" i="2"/>
  <c r="F47" i="2" s="1"/>
  <c r="E5" i="4" s="1"/>
  <c r="G6" i="2"/>
  <c r="G3" i="2"/>
  <c r="E47" i="2"/>
  <c r="C2" i="4"/>
  <c r="F17" i="4"/>
  <c r="Z46" i="2"/>
  <c r="V46" i="2"/>
  <c r="R46" i="2"/>
  <c r="N46" i="2"/>
  <c r="J46" i="2"/>
  <c r="F46" i="2"/>
  <c r="I17" i="4"/>
  <c r="C10" i="4"/>
  <c r="C8" i="4"/>
  <c r="C6" i="4"/>
  <c r="C4" i="4"/>
  <c r="C12" i="4"/>
  <c r="F13" i="4" s="1"/>
  <c r="R7" i="4" s="1"/>
  <c r="F11" i="4"/>
  <c r="R6" i="4" s="1"/>
  <c r="E17" i="4"/>
  <c r="Z45" i="2"/>
  <c r="V45" i="2"/>
  <c r="R45" i="2"/>
  <c r="N45" i="2"/>
  <c r="J45" i="2"/>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I2" i="3" s="1"/>
  <c r="P1" i="3"/>
  <c r="P3" i="3" s="1"/>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3" i="2"/>
  <c r="AO4" i="2"/>
  <c r="L47" i="2" l="1"/>
  <c r="G3" i="4" s="1"/>
  <c r="H3" i="4" s="1"/>
  <c r="W2" i="4" s="1"/>
  <c r="W8" i="4" s="1"/>
  <c r="P47" i="2"/>
  <c r="G7" i="4" s="1"/>
  <c r="H7" i="4" s="1"/>
  <c r="T47" i="2"/>
  <c r="G9" i="4" s="1"/>
  <c r="H9" i="4" s="1"/>
  <c r="F12" i="4"/>
  <c r="S7" i="4" s="1"/>
  <c r="H11" i="4"/>
  <c r="G10" i="4"/>
  <c r="H10" i="4" s="1"/>
  <c r="H13" i="4"/>
  <c r="G12" i="4"/>
  <c r="H12" i="4" s="1"/>
  <c r="G4" i="4"/>
  <c r="H4" i="4" s="1"/>
  <c r="X3" i="4" s="1"/>
  <c r="R47" i="2"/>
  <c r="E9" i="4" s="1"/>
  <c r="N47" i="2"/>
  <c r="E7" i="4" s="1"/>
  <c r="J47" i="2"/>
  <c r="E3" i="4" s="1"/>
  <c r="E2" i="4" s="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AH4" i="2"/>
  <c r="AH27" i="2"/>
  <c r="AH19" i="2"/>
  <c r="AH11" i="2"/>
  <c r="AH35" i="2"/>
  <c r="AH34" i="2"/>
  <c r="AH26" i="2"/>
  <c r="AH18" i="2"/>
  <c r="AH10" i="2"/>
  <c r="AH43" i="2"/>
  <c r="AH42" i="2"/>
  <c r="AH41" i="2"/>
  <c r="AH33" i="2"/>
  <c r="AH25" i="2"/>
  <c r="AH17" i="2"/>
  <c r="AH9" i="2"/>
  <c r="AH40" i="2"/>
  <c r="AH32" i="2"/>
  <c r="AH24" i="2"/>
  <c r="AH16" i="2"/>
  <c r="AH8" i="2"/>
  <c r="AH39" i="2"/>
  <c r="AH31" i="2"/>
  <c r="AH23" i="2"/>
  <c r="AH15" i="2"/>
  <c r="AH7" i="2"/>
  <c r="AH38" i="2"/>
  <c r="AH30" i="2"/>
  <c r="AH22" i="2"/>
  <c r="AH14" i="2"/>
  <c r="AH6" i="2"/>
  <c r="AH3" i="2"/>
  <c r="AH29" i="2"/>
  <c r="AH21" i="2"/>
  <c r="AH13" i="2"/>
  <c r="AH5" i="2"/>
  <c r="AH37" i="2"/>
  <c r="AH44" i="2"/>
  <c r="AH36" i="2"/>
  <c r="AH28" i="2"/>
  <c r="AH20" i="2"/>
  <c r="AH12" i="2"/>
  <c r="G2" i="4" l="1"/>
  <c r="H2" i="4" s="1"/>
  <c r="X2" i="4" s="1"/>
  <c r="X8" i="4" s="1"/>
  <c r="G6" i="4"/>
  <c r="H6" i="4" s="1"/>
  <c r="G8" i="4"/>
  <c r="H8" i="4" s="1"/>
  <c r="H15" i="4"/>
  <c r="E8" i="4"/>
  <c r="F8" i="4" s="1"/>
  <c r="S5" i="4" s="1"/>
  <c r="F9" i="4"/>
  <c r="R5" i="4" s="1"/>
  <c r="E6" i="4"/>
  <c r="F6" i="4" s="1"/>
  <c r="S4" i="4" s="1"/>
  <c r="F7" i="4"/>
  <c r="R4" i="4" s="1"/>
  <c r="S2" i="4"/>
  <c r="F3" i="4"/>
  <c r="R2" i="4" s="1"/>
  <c r="E4" i="4"/>
  <c r="F4" i="4" s="1"/>
  <c r="S3" i="4" s="1"/>
  <c r="F5" i="4"/>
  <c r="H14" i="4" l="1"/>
  <c r="S8" i="4"/>
  <c r="F15" i="4"/>
  <c r="H16" i="4" s="1"/>
  <c r="R3" i="4"/>
  <c r="R8" i="4" s="1"/>
  <c r="F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tc={917CD2B7-A8DD-4801-A83D-292795041458}</author>
  </authors>
  <commentList>
    <comment ref="F3" authorId="0" shapeId="0" xr:uid="{917CD2B7-A8DD-4801-A83D-292795041458}">
      <text>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Tổng tỉ trọng trong 1 công việc là 1</t>
      </text>
    </comment>
  </commentList>
</comments>
</file>

<file path=xl/sharedStrings.xml><?xml version="1.0" encoding="utf-8"?>
<sst xmlns="http://schemas.openxmlformats.org/spreadsheetml/2006/main" count="521" uniqueCount="164">
  <si>
    <t>STT</t>
  </si>
  <si>
    <t>Công việc</t>
  </si>
  <si>
    <t>Cách xử lý</t>
  </si>
  <si>
    <t>Đánh giá</t>
  </si>
  <si>
    <t>Hiệu suất cải thiện</t>
  </si>
  <si>
    <t>Trước khi có tool</t>
  </si>
  <si>
    <t>Sau khi có tool</t>
  </si>
  <si>
    <t>Nhập dữ liệu đường dây</t>
  </si>
  <si>
    <t>(1) Sử dụng file excel về thông số mẫu của các đường dây.
(2) Chọn dây phù hợp
(3) Nhập chiều dài đường dây
(4) Copy thông số dây và paste vào phần mềm PSS/E
(5) Nhập number bus cho đường dây 
(6) Kết thúc việc nhập liệu đường dây</t>
  </si>
  <si>
    <t>(1) Nhập number bus, chiều dài dây, số lượng đường dây
(2) Chọn thông số dây</t>
  </si>
  <si>
    <t>(1) Không lưu được thông tin loại đường dây
(2) Sử dụng thêm file excel để xử lý dữ liệu trước khi nhập PSS/E
(3) Cần cẩn trọng khi nhập liệu, dễ bị sai sót</t>
  </si>
  <si>
    <t>(1) Lưu được thông tin loại đường dây
(2) Nhập dữ liệu ngay trên tool, tool tự động cập nhập vào PSS/E
(3) Nhập liệu đơn giản hơn, tránh được sai sót.
(4) Rút ngắn được 30% thời gian nhập liệu</t>
  </si>
  <si>
    <t>Tính toán lưới điện ở chế độ N0 và N-1 (Contingency)</t>
  </si>
  <si>
    <t>(1) Mở 1 file .sav
(2) Mở chức năng tính toán contingency
(3) Tạo các .sub .mon .con để thiết lập các tính toán cho contingency.
(4) Thực hiện tính toán, kết quả xuất ra dạng file  .acc
(5) Mở file .acc sau đó copy đưa vào phần mềm excel để dịch sang tiếng Việt và đưa đưa vào báo cáo.</t>
  </si>
  <si>
    <t>(1) Nhập đường dẫn của tệp chứa các file .sav cần tính
(2) Sử dụng chức năng tính toán Auto Contingency
(3) Xuất ra kết quả của tất cả các file .sav ra file .acc
(4) Mở các file .acc sau đó copy đưa vào phần mềm excel để dịch sang tiếng Việt và đưa đưa vào báo cáo.</t>
  </si>
  <si>
    <t>(1) Mỗi lần chỉ xử lý được 1 file .sav
(2) Xử lý lặp đi lặp lại các bước tính toán cho nhiều file .sav khác nhau
(3) Dễ sai sót trong thao tác tính toán.
(4) Mất nhiều thời gian để tính toán</t>
  </si>
  <si>
    <t>(1) Mỗi lần có thể xử lý được nhiều file .sav
(2) Không lặp lại các bước tính toán
(3) Tránh được sai sót trong thao tác tính toán
(4) Tiết kiệm được nhiều thời gian tính toán</t>
  </si>
  <si>
    <t>Tính toán ổn định tĩnh</t>
  </si>
  <si>
    <t>(1) Mở 1 file .sav
(2) Mở chức năng tính toán ổn định tĩnh
(3) Tạo các .sub .mon .con để thiết lập các tính toán cho contingency.
(3) Cài đặt các thông số để tính toán
(4) Thực hiện tính toán, kết quả xuất ra dạng file  .pv
(5) Mở file .pv, tổng hợp kết quả tính toán và các đồ thị PV</t>
  </si>
  <si>
    <t>(1) Nhập đường dẫn của tệp chứa các file .sav cần tính
(2) Sử dụng chức năng tính toán ổn định tĩnh
(3) Xuất ra kết quả của tất cả các file .sav ra file .pv
(4) Mở file .pv, tổng hợp kết quả tính toán và các đồ thị PV</t>
  </si>
  <si>
    <t>Tính toán ngắn mạch tại thanh cái</t>
  </si>
  <si>
    <t>(1) Sử dụng file marco để tính ngắn mạch thanh cái để nhập các thanh cái cần tính ngắn mạch.
(2) Mở 1 file .sav bằng phần mềm PSS/E
(3) Hoàn thành tính toán ngắn mạch cho 1 file .sav
(4) Tiếp tục thực hiện thao tác từ (1) đến (3) để tính ngắn mạch có các file .sav khác
(5) Copy kết quả tính toán ra file word để tổng hợp.</t>
  </si>
  <si>
    <t>(1) Mở nhiều file .sav bằng Tool
(2) Sử dụng tính năng tính toán ngắn mạch, chọn thanh cái cần tính ngắn mạch / Sử dụng file marco để tính ngắn mạch thanh cái để nhập các thanh cái cần tính ngắn mạch
(3) Xuất ra kết quả của tất cả các file .sav cần tính toán ngắn mạch tại thanh cái
(4) Tự tổng hợp và xuất ra file word/txt</t>
  </si>
  <si>
    <t>(1) Chỉ tính được 1 kết quả cho 1 lần tính, lặp lại nhiều lần thao thác tính toán
(2) Mất nhiều thời gian xử lý</t>
  </si>
  <si>
    <t>(1) Tính được nhiều kết quả cho 1 lần tính
(2) Rút ngắn được 40% thời gian tính toán</t>
  </si>
  <si>
    <t>Tính toán kháng bù</t>
  </si>
  <si>
    <t>(1) Chia thủ công đoạn đường dây làm nhiều đoạn  
(2) Chọn dung lượng kháng bù và đấu kháng bù vào các thanh cái TBA (theo các nấc bù ví đụ như 50-60-70-80%..)
(3) Chạy trào lưu công suất
(4) Phần mềm tính ra điện áp dọc tuyến đường dây</t>
  </si>
  <si>
    <t>(1) Chọn đường dây trong Tools
(2)Khai báo trong tools chia đoạn đường dây ra các phần bằng nhau (10%,15%...)
(3) Chọn các nấc kháng bù trong tools</t>
  </si>
  <si>
    <t>(1) Thủ công trong việc tách đường dây ra làm nhiều đoạn.
(2) Thủ công trong việc tăng dung lượng kháng bù đến khi điện áp đạt yêu cầu. 
(3) Thời gian tính toán kiểm tra điện áp lâu</t>
  </si>
  <si>
    <t>(1) Giảm 2 bước thủ công trong việc chia đường dây và tăng dung lượng kháng bù
(2) Rút ngắn được 50% thời gian tính toán</t>
  </si>
  <si>
    <t>Tính toán ngắn mạch phân bố</t>
  </si>
  <si>
    <t>(1) Chia thủ công đoạn đường dây làm nhiều đoạn  
(2) Tính toán ngắn mạch phân bố trên các đoạn đường dây</t>
  </si>
  <si>
    <t>(1) Tools tự động chia đường dây. Tính toán ngắn mạch phân bố trên cung đoạn đường dây
(2) Xuất kết quả tóm tắt và chi tiết ra file txt kèm theo tóm tắt tổng hợp kết quả</t>
  </si>
  <si>
    <t xml:space="preserve"> (1) Thủ công trong việc tách đường dây ra làm nhiều đoạn. 
(2) Thủ công trong việc tính toán ngắn mạch trên từng phân đoạn</t>
  </si>
  <si>
    <t>(1) Giảm 2 bước thủ công trong việc chia đường dây và tính toán ngắn mạch trên các cung đoạn đường dây
(2) Rút ngắn được 20% thời gian tính toán</t>
  </si>
  <si>
    <t>Tính toán ổn định động</t>
  </si>
  <si>
    <t>(1) Mở 1 file .sav, 1 file .dyr
(2) Kiểm tra file .dyr để đủ điều kiện tính toán. Nếu kiểm tra đạt thì tiếp tục tính toán, không đạt thì hiệu chỉnh file .dyr đến khi kiểm tra đạt
(3) Thiết lập các cài đặt để tính toán bằng file .idv hoặc thao tác trên phần mềm.
(4) Tiến hành chọn thời gian để chạy tính toán ổn định động 
(5) Cài đặt sự kiện (sự cố tại một/một số phần tử HTĐ) để tính toán.
(6) Kết quả được xuất ra dưới dạng file .out
(7) Mở file .out, xử lý các đồ thị (đặt tên, canh tọa độ) 
(8) Đưa các đồ thị vào báo cáo
(*) Để cài đặt 1 sự kiện khác cần lặp lại các bước trên.</t>
  </si>
  <si>
    <t>(1) Mở 1 file .sav, 1 file .dyr hoặc nhiều file .sav
(2) Chọn các giá trị cần quan sát trên đồ thị (điện áp, góc máy phát,...)
(3) Kiểm tra file .dyr để đủ điều kiện tính toán. Nếu kiểm tra đạt thì tiếp tục tính toán, không đạt thì hiệu chỉnh file .dyr đến khi kiểm tra đạt
(4)Thiết lập các sự kiện trong file .idv 
(5) Chạy tính toán ổn định động. Tự động xuất ra các kết quả tính cho file .out với nhiều sự kiện khác nhau.</t>
  </si>
  <si>
    <t>(1) Mỗi lần chỉ xử lý được 1 sự kiện
(2) Xử lý lặp đi lặp lại các bước tính toán cho mỗi sự kiện khác nhau
(3) Dễ sai sót trong thao tác tính toán.
(4) Mất nhiều thời gian để tính toán</t>
  </si>
  <si>
    <t>(1) Mỗi lần có thể xử lý được sự kiện
(2) Không lặp lại các bước tính toán
(3) Tránh được sai sót trong thao tác tính toán
(4) Tiết kiệm được nhiều thời gian tính toán</t>
  </si>
  <si>
    <t>Chỉnh tên các chế độ trong file ZWCad</t>
  </si>
  <si>
    <t xml:space="preserve">(1) Sửa tên từng bản vẽ TLCS trong tính toán bằng ZWCad
</t>
  </si>
  <si>
    <t>(1) Tự động đặt tên các các bản vẽ TLCS bằng ZWCad với tiếng Anh và tiếng Việt</t>
  </si>
  <si>
    <t>(1) Nhập thủ công
(2) Tốn nhiều thời gian
(3) Dễ sai sót</t>
  </si>
  <si>
    <t>(1) Tự động nhập
(2) Tiết kiệm nhiều thời gian
(4) Tránh được sai sót trong quá trình nhập liệu</t>
  </si>
  <si>
    <t>Huy động nguồn</t>
  </si>
  <si>
    <t>(1) Thực hiện huy động nguồn bằng file excel
(2) Sao chép công suất huy động được bằng file excel vào PSS/E
(3) Thực hiện tính toán trào lưu công suất</t>
  </si>
  <si>
    <t>(1) Thực hiện huy động nguồn theo tỷ lệ huy động từng loại nguồn, từng miền bằng công cụ.
(2) Tự động tính toán trào lưu công suất
(3) Hiển thị tỷ lệ huy động của mỗi nguồn để quan sát</t>
  </si>
  <si>
    <t>(1) Dễ sai sót
(2) Khó kiểm soát do có cột hiện thị tỷ lệ huy động của mỗi nguồn</t>
  </si>
  <si>
    <t>(1) Tránh được sai sót
(2) Dễ kiểm soát do có cột hiện thị tỷ lệ huy động của mỗi nguồn</t>
  </si>
  <si>
    <t>Hiệu chỉnh đồng thời nhiều file</t>
  </si>
  <si>
    <t xml:space="preserve">(1) Hiệu chỉnh trên phần mềm PSS/E các nội dung cần cập nhật trong dữ liệu tính toán 
(2) Lưu lại các thao tác hiệu chỉnh dưới dạng file .py
(3) Mở lần lượt từng file dữ liệu tính toán (.sav) chạy lại các file lưu trên (.py) </t>
  </si>
  <si>
    <t>Cách 1:
(1) Hiệu chỉnh trên phần mềm PSS/E các nội dung cần cập nhật trong dữ liệu tính toán 
(2) Lưu lại các thao tác hiệu chỉnh dưới dạng file .py
(3) Nhập đường dẫn của tệp chưa các file .sav cần tính
Cách 2:
(1) Mở tất cả các file .sav hiệu chỉnh đồng thời. 
(2) Chỉnh sửa trên một file .sav. Công cụ tự động cập nhật các file .sav còn lại</t>
  </si>
  <si>
    <t>Tính toán truyền tải liên miền</t>
  </si>
  <si>
    <t>(1) Mở 1 file .sav
(2) Thực hiện cài đặt tính toán bằng chức năng tính toán của ổn định tĩnh: file .sub, .mon, .con
(3) Lựa chọn vùng để tính toán công suất truyền tải liên miền (Chỉ chọn được 1 vùng phát và 1 vùng nhận cho truyền tải liên miền)
(4) Đưa ra kết quả tính toán</t>
  </si>
  <si>
    <t>(1) Sử dụng tính năng tính toán truyền tải liên miền (tính toán được nhiều trường hợp truyền tải liên miền)
(2) Đưa ra kết quả tính toán</t>
  </si>
  <si>
    <t xml:space="preserve">
(1) Mỗi lần chỉ tính được 1 trường hợp truyền tải liên miền
(2) Xử lý lặp đi lặp lại các bước tính toán cho các trường hợp truyền tải liên miền khác nhau.
(3) Dễ sai sót trong thao tác tính toán.
(4) Mất nhiều thời gian để tính toán</t>
  </si>
  <si>
    <t xml:space="preserve">
(1) Mỗi lần tính được nhiều trường hợp truyền tải liên miền cho 1 file .sav
(2) Thao tác đơn giản
(3) Tiết kiệm được nhiều thời gian tính toán</t>
  </si>
  <si>
    <t>Tên công việc</t>
  </si>
  <si>
    <t>Chi tiết công việc</t>
  </si>
  <si>
    <t>Tính chất công việc</t>
  </si>
  <si>
    <t>Loại dự án</t>
  </si>
  <si>
    <t>Tần suất (%)</t>
  </si>
  <si>
    <t>Số lần thực hiện TB trong 1 dự án</t>
  </si>
  <si>
    <t>% Thời gian thực hiện
TB trong 1 dự án</t>
  </si>
  <si>
    <t>Tổng điểm khối lượng công việc</t>
  </si>
  <si>
    <t xml:space="preserve">Phần trăm trên tổng khối lượng công việc </t>
  </si>
  <si>
    <t>% Khối lượng giảm được sau khi có Tools</t>
  </si>
  <si>
    <t xml:space="preserve"> Tổng điểm khối lượng công việc cho 1 tác vụ = (Tần suất x số lần thực hiện trung bình x % thời gian thực hiện trong 1 dự án)</t>
  </si>
  <si>
    <t xml:space="preserve">Số dự án trong năm 2020 </t>
  </si>
  <si>
    <t>Số giờ trung bình để thực hiện tổng khối lượng công việc trong năm 2020(giờ)</t>
  </si>
  <si>
    <t>Nguồn TĐ</t>
  </si>
  <si>
    <t>Nguồn NĐ</t>
  </si>
  <si>
    <t>Nguồn NLTT</t>
  </si>
  <si>
    <t>Lưới 500kV</t>
  </si>
  <si>
    <t>Lưới 220kV</t>
  </si>
  <si>
    <t>Lưới 110kV</t>
  </si>
  <si>
    <t>Xây dựng dữ liệu</t>
  </si>
  <si>
    <t>(1) Tạo bus mới (bus num, bus name)</t>
  </si>
  <si>
    <t>Mang tính tư duy</t>
  </si>
  <si>
    <t>Có</t>
  </si>
  <si>
    <t>Nguồn/Lưới</t>
  </si>
  <si>
    <t>Phần trăm tổng khối lượng giảm được = Trung bình của % khối lượng giảm được của từng tác vụ (Trung bình cột K)</t>
  </si>
  <si>
    <t>(2) Xác định loại dây, chiều dài dây dẫn, quy mô MBA 2 cuộn dây, 3 cuộn dây, nguồn</t>
  </si>
  <si>
    <t>Tần suất xuất hiện: số lần xuất hiện trong 1 dự án/ tổng số dự án</t>
  </si>
  <si>
    <t>Số giờ tiết kiệm được khi sử dụng Tools (giờ)</t>
  </si>
  <si>
    <t>(3) Nhập chiều dài dây vào file excel thông số đường dây ( hoặc nhập quy mô MBA vào file excel tính thông số MBA)
copy phần thông số tương ứng vào PSSE, nhập From bus/To bus</t>
  </si>
  <si>
    <t>Mang tính lặp lại</t>
  </si>
  <si>
    <t>Thời gian TB: thời gian thực hiện trung bình trong một dự án</t>
  </si>
  <si>
    <t>(4) Phân vùng phụ tải, scale lại nguồn, tải theo đúng quy mô.</t>
  </si>
  <si>
    <t>Phân vùng phụ tải</t>
  </si>
  <si>
    <t>(1) Tổng hợp thông tin phụ tải của tỉnh(quốc gia) theo QĐPD QH tỉnh (Quy Hoạch Điện Quốc Gia) của năm tương ứng.</t>
  </si>
  <si>
    <t>(2) Tổng hợp thông tin phân vùng phụ tải của từng phân vùng và quy mô tương ứng</t>
  </si>
  <si>
    <t>(3) Phân lại phụ tải theo quy mô tổng và tỉ lệ của từng phân vùng</t>
  </si>
  <si>
    <t>(1) Tạo các .sub .mon .con để thiết lập các tính toán cho contingency.</t>
  </si>
  <si>
    <t>(2) Mở chức năng tính toán contingency, nhập đường dẫn các file sub, mon, con đã tạo và nhập tên file kết quả.</t>
  </si>
  <si>
    <t>(3) Thực hiện tính toán, kết quả xuất ra dạng file  .acc</t>
  </si>
  <si>
    <t>(4) Mở file .acc sau đó copy đưa vào phần mềm excel để dịch sang tiếng Việt và đưa vào báo cáo.</t>
  </si>
  <si>
    <t>(5) Tổng hợp kết quả, phân tích và đánh giá</t>
  </si>
  <si>
    <t>(1) Tạo các file .sub .mon .con để thiết lập các tính toán cho ổn định tĩnh.</t>
  </si>
  <si>
    <t>Nguồn</t>
  </si>
  <si>
    <t>(2) Mở chức năng tính toán ổn định tĩnh, nhập đường dẫn các file sub, mon, con đã tạo và nhập tên file kết quả, chọn Sink/Source.</t>
  </si>
  <si>
    <t>(3) Thực hiện tính toán, kết quả xuất ra dạng file .pv</t>
  </si>
  <si>
    <t>(4) Mở file .pv, tổng hợp kết quả tính toán và các đồ thị PV, phân tích, đánh gía kết quả.</t>
  </si>
  <si>
    <t>(1) Tạo file marco để tính ngắn mạch thanh cái để nhập các thanh cái cần tính ngắn mạch.</t>
  </si>
  <si>
    <t>(2) Tính toán ngắn mạch cho file .sav với file macro đã tạo.</t>
  </si>
  <si>
    <t>(3) Copy kết quả tính toán ra file word để tổng hợp, chọn ra các giá trị dòng ngắn mạch tổng tại các bus quan sát.</t>
  </si>
  <si>
    <t>(4) Tổng hợp kết quả, phân tích, đánh giá</t>
  </si>
  <si>
    <t xml:space="preserve">(1) Tạo file python chia đoạn đường dây làm nhiều đoạn (8 hoặc 16 đoạn). </t>
  </si>
  <si>
    <t>(2) Chọn dung lượng kháng bù và đấu kháng bù vào các thanh cái TBA (theo các nấc bù ví dụ như 50-60-70-80%..)</t>
  </si>
  <si>
    <t>(3) Tính trào lưu công suất và tổng hợp giá trị điện áp dọc tuyến đường dây</t>
  </si>
  <si>
    <t>(4) Tổng hợp kết quả, phân tích, đánh giá.</t>
  </si>
  <si>
    <t>Đường dây</t>
  </si>
  <si>
    <t>(1) Chia thủ công đoạn đường dây làm nhiều đoạn</t>
  </si>
  <si>
    <t>(2) Tạo file tính ngắn mạch cho các đoạn đường dây đã chia.</t>
  </si>
  <si>
    <t>(3) Tính toán ngắn mạch phân bố trên các đoạn đường dây.</t>
  </si>
  <si>
    <t>(4) Tổng hợp kết quả tính toán, phân tích, đánh giá.</t>
  </si>
  <si>
    <t>(1) Tạo file dữ liệu động cho các tổ máy (.dyr)</t>
  </si>
  <si>
    <t>(2) Kiểm tra file .dyr để đủ điều kiện tính toán. Nếu kiểm tra đạt thì tiếp tục tính toán, không đạt thì hiệu chỉnh file .dyr đến khi kiểm tra đạt.</t>
  </si>
  <si>
    <t>(3) Thiết lập các cài đặt để tính toán bằng file .idv hoặc thao tác trên phần mềm.</t>
  </si>
  <si>
    <t>(4) Cài đặt sự kiện (sự cố tại một/một số phần tử HTĐ) để tính toán.</t>
  </si>
  <si>
    <t>(5) Mở file kết quả (.out), xử lý các đồ thị (đặt tên, canh tọa độ).</t>
  </si>
  <si>
    <t>(6) Đánh giá và lập báo cáo.</t>
  </si>
  <si>
    <t>(1) Sửa tên từng bản vẽ TLCS trong tính toán bằng ZWCad
theo đúng chế độ phụ tải và mùa cũng như kịch bản tương ứng.</t>
  </si>
  <si>
    <t>(1) Thực hiện huy động nguồn bằng file excel</t>
  </si>
  <si>
    <t>(2) Sao chép công suất huy động được bằng file excel vào PSS/E và tính lại TLCS</t>
  </si>
  <si>
    <t>(1) Thực hiện cài đặt tính toán bằng chức năng tính toán của ổn định tĩnh: file .sub, .mon, .con</t>
  </si>
  <si>
    <t>(2) Lựa chọn vùng để tính toán công suất truyền tải liên miền (Chỉ chọn được 1 vùng phát và 1 vùng nhận cho truyền tải liên miền)</t>
  </si>
  <si>
    <t>(3) Đánh giá kết quả tính toán</t>
  </si>
  <si>
    <t>Lập báo cáo</t>
  </si>
  <si>
    <t>Tổng hợp kết quả tính toán, đưa ra các phân tích, đánh giá và giải pháp</t>
  </si>
  <si>
    <t>Lập phụ lục bản vẽ và tính toán</t>
  </si>
  <si>
    <t>Tổng hợp kết quả tính toán thành phụ lục theo các kịch bản theo các năm</t>
  </si>
  <si>
    <t>Hàng này phải bằng 1</t>
  </si>
  <si>
    <t>Trọng số</t>
  </si>
  <si>
    <t>Tỉ lệ</t>
  </si>
  <si>
    <t>Số giờ quy đổi</t>
  </si>
  <si>
    <t>Sau khi có công cụ hỗ trợ</t>
  </si>
  <si>
    <t>số dự án</t>
  </si>
  <si>
    <t>Gốc</t>
  </si>
  <si>
    <t>Nhiệt điện</t>
  </si>
  <si>
    <t>Thủy điện</t>
  </si>
  <si>
    <t>Năng lượng tái tạo</t>
  </si>
  <si>
    <t>TĐ tích năng, ĐHN nổi, BESS, giải tỏa CS NLTT, ĐG, ĐMT toàn Q (5)</t>
  </si>
  <si>
    <t>Lưới</t>
  </si>
  <si>
    <t>500kV</t>
  </si>
  <si>
    <t>Lưới VN-lào-cpc, cấp điện Trường sa, tổn thất LTT, HVDC (4)</t>
  </si>
  <si>
    <t>LĐ-TT (4)</t>
  </si>
  <si>
    <t>220kV</t>
  </si>
  <si>
    <t>110kV</t>
  </si>
  <si>
    <t>LĐ khác(3)</t>
  </si>
  <si>
    <t>LĐ-TT (5)</t>
  </si>
  <si>
    <t>Tổng số giờ mang tính tư duy</t>
  </si>
  <si>
    <t>Tổng số giờ mang tính lặp lại</t>
  </si>
  <si>
    <t>Giảm trên 1 dự án</t>
  </si>
  <si>
    <t xml:space="preserve">BCCN </t>
  </si>
  <si>
    <t>Tổng số giờ</t>
  </si>
  <si>
    <t>LĐ khác</t>
  </si>
  <si>
    <t>( số liệu 2020)</t>
  </si>
  <si>
    <t>LĐ-TT</t>
  </si>
  <si>
    <t>NN</t>
  </si>
  <si>
    <t>Số giờ mang 
tính tư duy</t>
  </si>
  <si>
    <t>Số giờ mang 
tính lặp lại</t>
  </si>
  <si>
    <t>Tổng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</si>
</sst>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amily val="2"/>
      <scheme val="minor"/>
    </font>
    <font>
      <b/>
      <sz val="14"/>
      <color theme="1"/>
      <name val="Times New Roman"/>
      <family val="1"/>
    </font>
    <font>
      <sz val="14"/>
      <color theme="1"/>
      <name val="Times New Roman"/>
      <family val="1"/>
    </font>
    <font>
      <b/>
      <sz val="13"/>
      <color theme="1"/>
      <name val="Times New Roman"/>
      <family val="1"/>
    </font>
    <font>
      <sz val="13"/>
      <color theme="1"/>
      <name val="Arial"/>
      <family val="2"/>
    </font>
    <font>
      <sz val="13"/>
      <color theme="1"/>
      <name val="Calibri"/>
      <family val="2"/>
      <scheme val="minor"/>
    </font>
    <font>
      <sz val="13"/>
      <color theme="1"/>
      <name val="Times New Roman"/>
      <family val="1"/>
    </font>
    <font>
      <b/>
      <sz val="14"/>
      <color theme="1"/>
      <name val="Times New Roman"/>
    </font>
    <font>
      <sz val="14"/>
      <color rgb="FF000000"/>
      <name val="Times New Roman"/>
      <charset val="1"/>
    </font>
    <font>
      <b/>
      <sz val="14"/>
      <color rgb="FFFF0000"/>
      <name val="Times New Roman"/>
      <family val="1"/>
    </font>
    <font>
      <b/>
      <sz val="13"/>
      <color theme="1"/>
      <name val="Times New Roman"/>
    </font>
    <font>
      <sz val="13"/>
      <color theme="1"/>
      <name val="Times New Roman"/>
    </font>
    <font>
      <sz val="11"/>
      <color rgb="FF444444"/>
      <name val="Calibri"/>
      <family val="2"/>
      <charset val="1"/>
    </font>
    <font>
      <sz val="11"/>
      <color rgb="FF444444"/>
      <name val="Calibri"/>
      <charset val="1"/>
    </font>
    <font>
      <b/>
      <sz val="13"/>
      <color rgb="FFFF0000"/>
      <name val="Times New Roman"/>
    </font>
    <font>
      <b/>
      <sz val="11"/>
      <color theme="1"/>
      <name val="Times New Roman"/>
    </font>
    <font>
      <b/>
      <sz val="13"/>
      <color theme="0"/>
      <name val="Times New Roman"/>
      <family val="1"/>
    </font>
  </fonts>
  <fills count="9">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FFE699"/>
        <bgColor indexed="64"/>
      </patternFill>
    </fill>
    <fill>
      <patternFill patternType="solid">
        <fgColor rgb="FFBDD7EE"/>
        <bgColor indexed="64"/>
      </patternFill>
    </fill>
    <fill>
      <patternFill patternType="solid">
        <fgColor rgb="FFFFFF00"/>
        <bgColor indexed="64"/>
      </patternFill>
    </fill>
    <fill>
      <patternFill patternType="solid">
        <fgColor rgb="FFA9D08E"/>
        <bgColor indexed="64"/>
      </patternFill>
    </fill>
    <fill>
      <patternFill patternType="solid">
        <fgColor theme="8" tint="-0.249977111117893"/>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s>
  <cellStyleXfs count="1">
    <xf numFmtId="0" fontId="0" fillId="0" borderId="0"/>
  </cellStyleXfs>
  <cellXfs count="128">
    <xf numFmtId="0" fontId="0" fillId="0" borderId="0" xfId="0"/>
    <xf numFmtId="0" fontId="4" fillId="0" borderId="0" xfId="0" applyFont="1" applyAlignment="1">
      <alignment wrapText="1"/>
    </xf>
    <xf numFmtId="0" fontId="5" fillId="0" borderId="0" xfId="0" applyFont="1"/>
    <xf numFmtId="0" fontId="1" fillId="2" borderId="1" xfId="0" applyFont="1" applyFill="1" applyBorder="1" applyAlignment="1">
      <alignment horizontal="center" vertical="center"/>
    </xf>
    <xf numFmtId="0" fontId="1" fillId="2" borderId="1" xfId="0" applyFont="1" applyFill="1" applyBorder="1" applyAlignment="1">
      <alignment horizontal="centerContinuous" vertical="center"/>
    </xf>
    <xf numFmtId="0" fontId="1" fillId="2" borderId="1" xfId="0" applyFont="1" applyFill="1" applyBorder="1" applyAlignment="1">
      <alignment horizontal="centerContinuous"/>
    </xf>
    <xf numFmtId="0" fontId="1"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wrapText="1"/>
    </xf>
    <xf numFmtId="0" fontId="2" fillId="0" borderId="1" xfId="0" applyFont="1" applyBorder="1" applyAlignment="1">
      <alignment horizontal="left" vertical="top" wrapText="1"/>
    </xf>
    <xf numFmtId="9" fontId="6"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wrapText="1"/>
    </xf>
    <xf numFmtId="0" fontId="2" fillId="0" borderId="1" xfId="0" applyFont="1" applyBorder="1" applyAlignment="1">
      <alignment horizontal="center" vertical="center" wrapText="1"/>
    </xf>
    <xf numFmtId="0" fontId="8" fillId="0" borderId="1" xfId="0" applyFont="1" applyBorder="1"/>
    <xf numFmtId="0" fontId="7" fillId="5" borderId="2" xfId="0" applyFont="1" applyFill="1" applyBorder="1" applyAlignment="1">
      <alignment horizontal="center" vertical="center"/>
    </xf>
    <xf numFmtId="0" fontId="2" fillId="4" borderId="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2" fillId="0" borderId="1" xfId="0" applyFont="1" applyBorder="1" applyAlignment="1">
      <alignment horizontal="center" wrapText="1"/>
    </xf>
    <xf numFmtId="0" fontId="2" fillId="0" borderId="4" xfId="0" applyFont="1" applyBorder="1" applyAlignment="1">
      <alignment horizontal="center" wrapText="1"/>
    </xf>
    <xf numFmtId="0" fontId="0" fillId="0" borderId="3" xfId="0" applyBorder="1"/>
    <xf numFmtId="0" fontId="2" fillId="0" borderId="4" xfId="0" applyFont="1" applyBorder="1" applyAlignment="1">
      <alignment horizontal="center" vertical="center" wrapText="1"/>
    </xf>
    <xf numFmtId="0" fontId="7" fillId="5" borderId="5" xfId="0" applyFont="1" applyFill="1" applyBorder="1" applyAlignment="1">
      <alignment horizontal="center" vertical="center" wrapText="1"/>
    </xf>
    <xf numFmtId="0" fontId="2" fillId="0" borderId="6" xfId="0" applyFont="1" applyBorder="1" applyAlignment="1">
      <alignment horizontal="left" wrapText="1"/>
    </xf>
    <xf numFmtId="0" fontId="2" fillId="0" borderId="7" xfId="0" applyFont="1" applyBorder="1" applyAlignment="1">
      <alignment horizontal="left" wrapText="1"/>
    </xf>
    <xf numFmtId="0" fontId="7" fillId="5" borderId="0" xfId="0" applyFont="1" applyFill="1" applyAlignment="1">
      <alignment horizontal="center" vertical="center" wrapText="1"/>
    </xf>
    <xf numFmtId="0" fontId="7" fillId="6" borderId="8" xfId="0" applyFont="1" applyFill="1" applyBorder="1" applyAlignment="1">
      <alignment horizontal="center" vertical="center" wrapText="1"/>
    </xf>
    <xf numFmtId="0" fontId="0" fillId="0" borderId="8" xfId="0" applyBorder="1"/>
    <xf numFmtId="0" fontId="7" fillId="5" borderId="3"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1" fillId="5" borderId="0" xfId="0" applyFont="1" applyFill="1" applyAlignment="1">
      <alignment horizontal="center" vertical="center" wrapText="1"/>
    </xf>
    <xf numFmtId="0" fontId="9" fillId="5" borderId="10" xfId="0" applyFont="1" applyFill="1" applyBorder="1" applyAlignment="1">
      <alignment horizontal="center" vertical="center" wrapText="1"/>
    </xf>
    <xf numFmtId="10" fontId="2" fillId="0" borderId="1" xfId="0" applyNumberFormat="1" applyFont="1" applyBorder="1" applyAlignment="1">
      <alignment horizontal="center" wrapText="1"/>
    </xf>
    <xf numFmtId="10" fontId="2" fillId="0" borderId="1" xfId="0" applyNumberFormat="1" applyFont="1" applyBorder="1" applyAlignment="1">
      <alignment horizontal="center" vertical="center" wrapText="1"/>
    </xf>
    <xf numFmtId="9" fontId="2" fillId="0" borderId="1" xfId="0" applyNumberFormat="1" applyFont="1" applyBorder="1" applyAlignment="1">
      <alignment horizontal="center" wrapText="1"/>
    </xf>
    <xf numFmtId="9" fontId="2" fillId="0" borderId="1" xfId="0" applyNumberFormat="1" applyFont="1" applyBorder="1" applyAlignment="1">
      <alignment horizontal="center" vertical="center" wrapText="1"/>
    </xf>
    <xf numFmtId="0" fontId="2" fillId="6" borderId="9"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1" xfId="0" applyBorder="1"/>
    <xf numFmtId="0" fontId="11" fillId="0" borderId="1" xfId="0" applyFont="1" applyBorder="1" applyAlignment="1">
      <alignment vertical="center"/>
    </xf>
    <xf numFmtId="0" fontId="10" fillId="5" borderId="1" xfId="0" applyFont="1" applyFill="1" applyBorder="1" applyAlignment="1">
      <alignment vertical="center"/>
    </xf>
    <xf numFmtId="0" fontId="2" fillId="6" borderId="0" xfId="0" applyFont="1" applyFill="1" applyAlignment="1">
      <alignment horizontal="center" vertical="center" wrapText="1"/>
    </xf>
    <xf numFmtId="0" fontId="7" fillId="5" borderId="7" xfId="0" applyFont="1" applyFill="1" applyBorder="1" applyAlignment="1">
      <alignment horizontal="center" vertical="center"/>
    </xf>
    <xf numFmtId="0" fontId="2" fillId="4" borderId="12" xfId="0" applyFont="1" applyFill="1" applyBorder="1" applyAlignment="1">
      <alignment horizontal="center" vertical="center" wrapText="1"/>
    </xf>
    <xf numFmtId="0" fontId="2" fillId="0" borderId="15" xfId="0" applyFont="1" applyBorder="1" applyAlignment="1">
      <alignment horizontal="center" vertical="center" wrapText="1"/>
    </xf>
    <xf numFmtId="0" fontId="7" fillId="5" borderId="5" xfId="0" applyFont="1" applyFill="1" applyBorder="1" applyAlignment="1">
      <alignment vertical="center"/>
    </xf>
    <xf numFmtId="0" fontId="7" fillId="5" borderId="15" xfId="0" applyFont="1" applyFill="1" applyBorder="1" applyAlignment="1">
      <alignment vertical="center"/>
    </xf>
    <xf numFmtId="0" fontId="7" fillId="5" borderId="2" xfId="0" applyFont="1" applyFill="1" applyBorder="1" applyAlignment="1">
      <alignment vertical="center"/>
    </xf>
    <xf numFmtId="0" fontId="7" fillId="5" borderId="12" xfId="0" applyFont="1" applyFill="1" applyBorder="1" applyAlignment="1">
      <alignment vertical="center"/>
    </xf>
    <xf numFmtId="0" fontId="12" fillId="0" borderId="0" xfId="0" quotePrefix="1" applyFont="1"/>
    <xf numFmtId="10" fontId="2" fillId="0" borderId="12" xfId="0" applyNumberFormat="1" applyFont="1" applyBorder="1" applyAlignment="1">
      <alignment horizontal="center" vertical="center" wrapText="1"/>
    </xf>
    <xf numFmtId="0" fontId="7" fillId="5" borderId="1" xfId="0" applyFont="1" applyFill="1" applyBorder="1" applyAlignment="1">
      <alignment vertical="center"/>
    </xf>
    <xf numFmtId="0" fontId="2" fillId="4" borderId="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4" borderId="4" xfId="0" applyFont="1" applyFill="1" applyBorder="1" applyAlignment="1">
      <alignment horizontal="center" vertical="center" wrapText="1"/>
    </xf>
    <xf numFmtId="0" fontId="0" fillId="5" borderId="0" xfId="0" applyFill="1"/>
    <xf numFmtId="0" fontId="2" fillId="4" borderId="7"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0" borderId="21" xfId="0" applyFont="1" applyBorder="1" applyAlignment="1">
      <alignment horizontal="center" vertical="center" wrapText="1"/>
    </xf>
    <xf numFmtId="0" fontId="2" fillId="0" borderId="20" xfId="0" applyFont="1" applyBorder="1" applyAlignment="1">
      <alignment horizontal="center" wrapText="1"/>
    </xf>
    <xf numFmtId="9" fontId="2" fillId="0" borderId="2" xfId="0" applyNumberFormat="1" applyFont="1" applyBorder="1" applyAlignment="1">
      <alignment horizontal="center" wrapText="1"/>
    </xf>
    <xf numFmtId="9" fontId="2" fillId="0" borderId="12" xfId="0" applyNumberFormat="1" applyFont="1" applyBorder="1" applyAlignment="1">
      <alignment horizontal="center" wrapText="1"/>
    </xf>
    <xf numFmtId="9" fontId="2" fillId="0" borderId="13" xfId="0" applyNumberFormat="1" applyFont="1" applyBorder="1" applyAlignment="1">
      <alignment horizontal="center" wrapText="1"/>
    </xf>
    <xf numFmtId="0" fontId="7" fillId="5" borderId="21" xfId="0" applyFont="1" applyFill="1" applyBorder="1" applyAlignment="1">
      <alignment horizontal="center" vertical="center"/>
    </xf>
    <xf numFmtId="0" fontId="11" fillId="0" borderId="1" xfId="0" applyFont="1" applyBorder="1" applyAlignment="1">
      <alignment horizontal="center" vertical="center"/>
    </xf>
    <xf numFmtId="0" fontId="2" fillId="4" borderId="21" xfId="0" applyFont="1" applyFill="1" applyBorder="1" applyAlignment="1">
      <alignment horizontal="center" vertical="center" wrapText="1"/>
    </xf>
    <xf numFmtId="10" fontId="0" fillId="0" borderId="3" xfId="0" applyNumberFormat="1" applyBorder="1"/>
    <xf numFmtId="0" fontId="13" fillId="0" borderId="0" xfId="0" applyFont="1"/>
    <xf numFmtId="0" fontId="12" fillId="0" borderId="0" xfId="0" applyFont="1"/>
    <xf numFmtId="164" fontId="11" fillId="0" borderId="1" xfId="0" applyNumberFormat="1" applyFont="1" applyBorder="1" applyAlignment="1">
      <alignment horizontal="center" vertical="center"/>
    </xf>
    <xf numFmtId="0" fontId="14"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7" fillId="5" borderId="12" xfId="0" applyFont="1" applyFill="1" applyBorder="1" applyAlignment="1">
      <alignment horizontal="center" vertical="center"/>
    </xf>
    <xf numFmtId="0" fontId="0" fillId="0" borderId="0" xfId="0" applyAlignment="1">
      <alignment horizontal="center"/>
    </xf>
    <xf numFmtId="0" fontId="0" fillId="0" borderId="12" xfId="0" applyBorder="1"/>
    <xf numFmtId="0" fontId="2" fillId="0" borderId="1" xfId="0" applyFont="1" applyBorder="1" applyAlignment="1">
      <alignment horizontal="left" vertical="center"/>
    </xf>
    <xf numFmtId="0" fontId="1" fillId="2" borderId="1" xfId="0" applyFont="1" applyFill="1" applyBorder="1" applyAlignment="1">
      <alignment horizontal="center" vertical="center"/>
    </xf>
    <xf numFmtId="0" fontId="3" fillId="3" borderId="1" xfId="0" applyFont="1" applyFill="1" applyBorder="1" applyAlignment="1">
      <alignment horizont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7" fillId="5"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7" fillId="6" borderId="19" xfId="0" applyFont="1" applyFill="1" applyBorder="1" applyAlignment="1">
      <alignment horizontal="center" vertical="center" wrapText="1"/>
    </xf>
    <xf numFmtId="0" fontId="7" fillId="5" borderId="4" xfId="0" applyFont="1" applyFill="1" applyBorder="1" applyAlignment="1">
      <alignment horizontal="center" vertical="center"/>
    </xf>
    <xf numFmtId="0" fontId="7" fillId="5" borderId="21"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15"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12" xfId="0" applyFont="1" applyFill="1" applyBorder="1" applyAlignment="1">
      <alignment horizontal="center" vertical="center"/>
    </xf>
    <xf numFmtId="0" fontId="1" fillId="5" borderId="4" xfId="0" applyFont="1" applyFill="1" applyBorder="1" applyAlignment="1">
      <alignment horizontal="center" vertical="center" wrapText="1"/>
    </xf>
    <xf numFmtId="0" fontId="7" fillId="5" borderId="1"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0" xfId="0" applyAlignment="1">
      <alignment horizontal="center"/>
    </xf>
    <xf numFmtId="164" fontId="11" fillId="0" borderId="1" xfId="0" applyNumberFormat="1" applyFont="1" applyBorder="1" applyAlignment="1">
      <alignment horizontal="center" vertical="center"/>
    </xf>
    <xf numFmtId="0" fontId="10" fillId="5"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12" xfId="0" applyFont="1" applyBorder="1" applyAlignment="1">
      <alignment horizontal="center" vertical="center"/>
    </xf>
    <xf numFmtId="0" fontId="10" fillId="0" borderId="15" xfId="0" applyFont="1" applyBorder="1" applyAlignment="1">
      <alignment horizontal="center" vertical="center"/>
    </xf>
    <xf numFmtId="0" fontId="10" fillId="0" borderId="1" xfId="0" applyFont="1" applyBorder="1" applyAlignment="1">
      <alignment horizontal="center" vertical="center"/>
    </xf>
    <xf numFmtId="0" fontId="15" fillId="7" borderId="1" xfId="0" applyFont="1" applyFill="1" applyBorder="1" applyAlignment="1">
      <alignment horizontal="center"/>
    </xf>
    <xf numFmtId="0" fontId="3" fillId="0" borderId="2" xfId="0" applyFont="1" applyBorder="1" applyAlignment="1">
      <alignment horizontal="center" vertical="center"/>
    </xf>
    <xf numFmtId="0" fontId="3" fillId="0" borderId="1" xfId="0" applyFont="1" applyBorder="1" applyAlignment="1">
      <alignment vertical="center"/>
    </xf>
    <xf numFmtId="0" fontId="3" fillId="0" borderId="13" xfId="0" applyFont="1" applyBorder="1" applyAlignment="1">
      <alignment horizontal="center" vertical="center"/>
    </xf>
    <xf numFmtId="0" fontId="3" fillId="0" borderId="12" xfId="0" applyFont="1" applyBorder="1" applyAlignment="1">
      <alignment horizontal="center" vertical="center"/>
    </xf>
    <xf numFmtId="1" fontId="11" fillId="0" borderId="1" xfId="0" applyNumberFormat="1" applyFont="1" applyBorder="1" applyAlignment="1">
      <alignment horizontal="center" vertical="center"/>
    </xf>
    <xf numFmtId="0" fontId="16" fillId="8" borderId="1" xfId="0" applyFont="1" applyFill="1" applyBorder="1" applyAlignment="1">
      <alignment horizontal="center" vertical="center"/>
    </xf>
    <xf numFmtId="0" fontId="16" fillId="8" borderId="1" xfId="0" applyFont="1" applyFill="1" applyBorder="1" applyAlignment="1">
      <alignment horizontal="center" vertical="center" wrapText="1"/>
    </xf>
    <xf numFmtId="1" fontId="3" fillId="0" borderId="1" xfId="0" applyNumberFormat="1" applyFont="1" applyBorder="1" applyAlignment="1">
      <alignment horizontal="center" vertical="center"/>
    </xf>
    <xf numFmtId="1" fontId="3" fillId="0" borderId="20" xfId="0" applyNumberFormat="1" applyFont="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horizontal="center"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guyễn Thanh Hằng" id="{7155A1D0-4719-4348-A649-51DBDF470406}" userId="e61894eb62c1c02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21-12-27T09:40:00.29" personId="{7155A1D0-4719-4348-A649-51DBDF470406}" id="{917CD2B7-A8DD-4801-A83D-292795041458}">
    <text>Tổng tỉ trọng trong 1 công việc là 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opLeftCell="A8" zoomScale="85" zoomScaleNormal="85" workbookViewId="0">
      <selection activeCell="M9" sqref="M9"/>
    </sheetView>
  </sheetViews>
  <sheetFormatPr defaultRowHeight="17.25" x14ac:dyDescent="0.3"/>
  <cols>
    <col min="2" max="2" width="45" bestFit="1" customWidth="1"/>
    <col min="3" max="3" width="54.5703125" bestFit="1" customWidth="1"/>
    <col min="4" max="4" width="49.140625" customWidth="1"/>
    <col min="5" max="5" width="40.85546875" customWidth="1"/>
    <col min="6" max="6" width="40" customWidth="1"/>
    <col min="7" max="7" width="8.85546875" style="2"/>
  </cols>
  <sheetData>
    <row r="1" spans="1:7" ht="75" customHeight="1" x14ac:dyDescent="0.3">
      <c r="A1" s="83" t="s">
        <v>0</v>
      </c>
      <c r="B1" s="83" t="s">
        <v>1</v>
      </c>
      <c r="C1" s="83" t="s">
        <v>2</v>
      </c>
      <c r="D1" s="83"/>
      <c r="E1" s="4" t="s">
        <v>3</v>
      </c>
      <c r="F1" s="5"/>
      <c r="G1" s="84" t="s">
        <v>4</v>
      </c>
    </row>
    <row r="2" spans="1:7" ht="18.75" x14ac:dyDescent="0.3">
      <c r="A2" s="83"/>
      <c r="B2" s="83"/>
      <c r="C2" s="3" t="s">
        <v>5</v>
      </c>
      <c r="D2" s="3" t="s">
        <v>6</v>
      </c>
      <c r="E2" s="6" t="s">
        <v>5</v>
      </c>
      <c r="F2" s="6" t="s">
        <v>6</v>
      </c>
      <c r="G2" s="84"/>
    </row>
    <row r="3" spans="1:7" ht="150" x14ac:dyDescent="0.3">
      <c r="A3" s="7">
        <v>1</v>
      </c>
      <c r="B3" s="8" t="s">
        <v>7</v>
      </c>
      <c r="C3" s="9" t="s">
        <v>8</v>
      </c>
      <c r="D3" s="10" t="s">
        <v>9</v>
      </c>
      <c r="E3" s="10" t="s">
        <v>10</v>
      </c>
      <c r="F3" s="10" t="s">
        <v>11</v>
      </c>
      <c r="G3" s="11">
        <v>0.3</v>
      </c>
    </row>
    <row r="4" spans="1:7" ht="168.75" x14ac:dyDescent="0.3">
      <c r="A4" s="7">
        <v>2</v>
      </c>
      <c r="B4" s="8" t="s">
        <v>12</v>
      </c>
      <c r="C4" s="9" t="s">
        <v>13</v>
      </c>
      <c r="D4" s="10" t="s">
        <v>14</v>
      </c>
      <c r="E4" s="10" t="s">
        <v>15</v>
      </c>
      <c r="F4" s="10" t="s">
        <v>16</v>
      </c>
      <c r="G4" s="11">
        <v>0.4</v>
      </c>
    </row>
    <row r="5" spans="1:7" ht="168.75" x14ac:dyDescent="0.3">
      <c r="A5" s="7">
        <v>3</v>
      </c>
      <c r="B5" s="8" t="s">
        <v>17</v>
      </c>
      <c r="C5" s="9" t="s">
        <v>18</v>
      </c>
      <c r="D5" s="10" t="s">
        <v>19</v>
      </c>
      <c r="E5" s="10" t="s">
        <v>15</v>
      </c>
      <c r="F5" s="10" t="s">
        <v>16</v>
      </c>
      <c r="G5" s="11">
        <v>0.2</v>
      </c>
    </row>
    <row r="6" spans="1:7" ht="168.75" x14ac:dyDescent="0.3">
      <c r="A6" s="7">
        <v>4</v>
      </c>
      <c r="B6" s="8" t="s">
        <v>20</v>
      </c>
      <c r="C6" s="12" t="s">
        <v>21</v>
      </c>
      <c r="D6" s="9" t="s">
        <v>22</v>
      </c>
      <c r="E6" s="12" t="s">
        <v>23</v>
      </c>
      <c r="F6" s="12" t="s">
        <v>24</v>
      </c>
      <c r="G6" s="11">
        <v>0.4</v>
      </c>
    </row>
    <row r="7" spans="1:7" ht="150" x14ac:dyDescent="0.25">
      <c r="A7" s="7">
        <v>5</v>
      </c>
      <c r="B7" s="8" t="s">
        <v>25</v>
      </c>
      <c r="C7" s="10" t="s">
        <v>26</v>
      </c>
      <c r="D7" s="12" t="s">
        <v>27</v>
      </c>
      <c r="E7" s="12" t="s">
        <v>28</v>
      </c>
      <c r="F7" s="12" t="s">
        <v>29</v>
      </c>
      <c r="G7" s="11">
        <v>0.5</v>
      </c>
    </row>
    <row r="8" spans="1:7" ht="129.6" customHeight="1" x14ac:dyDescent="0.3">
      <c r="A8" s="7">
        <v>6</v>
      </c>
      <c r="B8" s="13" t="s">
        <v>30</v>
      </c>
      <c r="C8" s="10" t="s">
        <v>31</v>
      </c>
      <c r="D8" s="12" t="s">
        <v>32</v>
      </c>
      <c r="E8" s="12" t="s">
        <v>33</v>
      </c>
      <c r="F8" s="9" t="s">
        <v>34</v>
      </c>
      <c r="G8" s="11">
        <v>0.2</v>
      </c>
    </row>
    <row r="9" spans="1:7" ht="300" x14ac:dyDescent="0.3">
      <c r="A9" s="7">
        <v>7</v>
      </c>
      <c r="B9" s="13" t="s">
        <v>35</v>
      </c>
      <c r="C9" s="14" t="s">
        <v>36</v>
      </c>
      <c r="D9" s="14" t="s">
        <v>37</v>
      </c>
      <c r="E9" s="10" t="s">
        <v>38</v>
      </c>
      <c r="F9" s="10" t="s">
        <v>39</v>
      </c>
      <c r="G9" s="11">
        <v>0.4</v>
      </c>
    </row>
    <row r="10" spans="1:7" ht="89.45" customHeight="1" x14ac:dyDescent="0.3">
      <c r="A10" s="7">
        <v>8</v>
      </c>
      <c r="B10" s="13" t="s">
        <v>40</v>
      </c>
      <c r="C10" s="14" t="s">
        <v>41</v>
      </c>
      <c r="D10" s="12" t="s">
        <v>42</v>
      </c>
      <c r="E10" s="8" t="s">
        <v>43</v>
      </c>
      <c r="F10" s="8" t="s">
        <v>44</v>
      </c>
      <c r="G10" s="11">
        <v>0.6</v>
      </c>
    </row>
    <row r="11" spans="1:7" ht="112.5" x14ac:dyDescent="0.3">
      <c r="A11" s="7">
        <v>9</v>
      </c>
      <c r="B11" s="13" t="s">
        <v>45</v>
      </c>
      <c r="C11" s="14" t="s">
        <v>46</v>
      </c>
      <c r="D11" s="12" t="s">
        <v>47</v>
      </c>
      <c r="E11" s="8" t="s">
        <v>48</v>
      </c>
      <c r="F11" s="8" t="s">
        <v>49</v>
      </c>
      <c r="G11" s="11">
        <v>0.2</v>
      </c>
    </row>
    <row r="12" spans="1:7" ht="243.75" x14ac:dyDescent="0.25">
      <c r="A12" s="7">
        <v>10</v>
      </c>
      <c r="B12" s="13" t="s">
        <v>50</v>
      </c>
      <c r="C12" s="8" t="s">
        <v>51</v>
      </c>
      <c r="D12" s="8" t="s">
        <v>52</v>
      </c>
      <c r="E12" s="10" t="s">
        <v>15</v>
      </c>
      <c r="F12" s="10" t="s">
        <v>16</v>
      </c>
      <c r="G12" s="11">
        <v>0.5</v>
      </c>
    </row>
    <row r="13" spans="1:7" ht="168.75" x14ac:dyDescent="0.3">
      <c r="A13" s="7">
        <v>11</v>
      </c>
      <c r="B13" s="13" t="s">
        <v>53</v>
      </c>
      <c r="C13" s="14" t="s">
        <v>54</v>
      </c>
      <c r="D13" s="8" t="s">
        <v>55</v>
      </c>
      <c r="E13" s="10" t="s">
        <v>56</v>
      </c>
      <c r="F13" s="10" t="s">
        <v>57</v>
      </c>
      <c r="G13" s="11">
        <v>0.3</v>
      </c>
    </row>
    <row r="14" spans="1:7" ht="16.5" x14ac:dyDescent="0.25">
      <c r="G14" s="1"/>
    </row>
    <row r="15" spans="1:7" ht="16.5" x14ac:dyDescent="0.25">
      <c r="G15" s="1"/>
    </row>
    <row r="16" spans="1:7" ht="16.5" x14ac:dyDescent="0.25">
      <c r="G16" s="1"/>
    </row>
    <row r="17" spans="7:7" ht="16.5" x14ac:dyDescent="0.25">
      <c r="G17" s="1"/>
    </row>
    <row r="18" spans="7:7" ht="16.5" x14ac:dyDescent="0.25">
      <c r="G18" s="1"/>
    </row>
    <row r="19" spans="7:7" ht="16.5" x14ac:dyDescent="0.25">
      <c r="G19" s="1"/>
    </row>
    <row r="20" spans="7:7" ht="16.5" x14ac:dyDescent="0.25">
      <c r="G20" s="1"/>
    </row>
    <row r="21" spans="7:7" ht="16.5" x14ac:dyDescent="0.25">
      <c r="G21" s="1"/>
    </row>
    <row r="22" spans="7:7" ht="16.5" x14ac:dyDescent="0.25">
      <c r="G22" s="1"/>
    </row>
    <row r="23" spans="7:7" ht="16.5" x14ac:dyDescent="0.25">
      <c r="G23" s="1"/>
    </row>
    <row r="24" spans="7:7" ht="16.5" x14ac:dyDescent="0.25">
      <c r="G24" s="1"/>
    </row>
    <row r="25" spans="7:7" ht="16.5" x14ac:dyDescent="0.25">
      <c r="G25" s="1"/>
    </row>
    <row r="26" spans="7:7" ht="16.5" x14ac:dyDescent="0.25">
      <c r="G26" s="1"/>
    </row>
    <row r="27" spans="7:7" ht="16.5" x14ac:dyDescent="0.25">
      <c r="G27" s="1"/>
    </row>
    <row r="28" spans="7:7" ht="16.5" x14ac:dyDescent="0.25">
      <c r="G28" s="1"/>
    </row>
    <row r="29" spans="7:7" ht="16.5" x14ac:dyDescent="0.25">
      <c r="G29" s="1"/>
    </row>
    <row r="30" spans="7:7" ht="16.5" x14ac:dyDescent="0.25">
      <c r="G30" s="1"/>
    </row>
    <row r="31" spans="7:7" ht="16.5" x14ac:dyDescent="0.25">
      <c r="G31" s="1"/>
    </row>
    <row r="32" spans="7:7" ht="16.5" x14ac:dyDescent="0.25">
      <c r="G32" s="1"/>
    </row>
    <row r="33" spans="7:7" ht="16.5" x14ac:dyDescent="0.25">
      <c r="G33" s="1"/>
    </row>
    <row r="34" spans="7:7" ht="16.5" x14ac:dyDescent="0.25">
      <c r="G34" s="1"/>
    </row>
    <row r="35" spans="7:7" ht="16.5" x14ac:dyDescent="0.25">
      <c r="G35" s="1"/>
    </row>
    <row r="36" spans="7:7" ht="16.5" x14ac:dyDescent="0.25">
      <c r="G36" s="1"/>
    </row>
    <row r="37" spans="7:7" ht="16.5" x14ac:dyDescent="0.25">
      <c r="G37" s="1"/>
    </row>
    <row r="38" spans="7:7" ht="16.5" x14ac:dyDescent="0.25">
      <c r="G38" s="1"/>
    </row>
    <row r="39" spans="7:7" ht="16.5" x14ac:dyDescent="0.25">
      <c r="G39" s="1"/>
    </row>
    <row r="40" spans="7:7" ht="16.5" x14ac:dyDescent="0.25">
      <c r="G40" s="1"/>
    </row>
    <row r="41" spans="7:7" ht="16.5" x14ac:dyDescent="0.25">
      <c r="G41" s="1"/>
    </row>
    <row r="42" spans="7:7" ht="16.5" x14ac:dyDescent="0.25">
      <c r="G42" s="1"/>
    </row>
    <row r="43" spans="7:7" ht="16.5" x14ac:dyDescent="0.25">
      <c r="G43" s="1"/>
    </row>
    <row r="44" spans="7:7" ht="16.5" x14ac:dyDescent="0.25">
      <c r="G44" s="1"/>
    </row>
    <row r="45" spans="7:7" ht="16.5" x14ac:dyDescent="0.25">
      <c r="G45" s="1"/>
    </row>
    <row r="46" spans="7:7" ht="16.5" x14ac:dyDescent="0.25">
      <c r="G46" s="1"/>
    </row>
    <row r="47" spans="7:7" ht="16.5" x14ac:dyDescent="0.25">
      <c r="G47" s="1"/>
    </row>
    <row r="48" spans="7:7" ht="16.5" x14ac:dyDescent="0.25">
      <c r="G48" s="1"/>
    </row>
    <row r="49" spans="7:7" ht="16.5" x14ac:dyDescent="0.25">
      <c r="G49" s="1"/>
    </row>
    <row r="50" spans="7:7" ht="16.5" x14ac:dyDescent="0.25">
      <c r="G50" s="1"/>
    </row>
    <row r="51" spans="7:7" ht="16.5" x14ac:dyDescent="0.25">
      <c r="G51" s="1"/>
    </row>
    <row r="52" spans="7:7" ht="16.5" x14ac:dyDescent="0.25">
      <c r="G52" s="1"/>
    </row>
    <row r="53" spans="7:7" ht="16.5" x14ac:dyDescent="0.25">
      <c r="G53" s="1"/>
    </row>
    <row r="54" spans="7:7" ht="16.5" x14ac:dyDescent="0.25">
      <c r="G54" s="1"/>
    </row>
    <row r="55" spans="7:7" ht="16.5" x14ac:dyDescent="0.25">
      <c r="G55" s="1"/>
    </row>
    <row r="56" spans="7:7" ht="16.5" x14ac:dyDescent="0.25">
      <c r="G56" s="1"/>
    </row>
    <row r="57" spans="7:7" ht="16.5" x14ac:dyDescent="0.25">
      <c r="G57" s="1"/>
    </row>
    <row r="58" spans="7:7" ht="16.5" x14ac:dyDescent="0.25">
      <c r="G58" s="1"/>
    </row>
    <row r="59" spans="7:7" ht="16.5" x14ac:dyDescent="0.25">
      <c r="G59" s="1"/>
    </row>
    <row r="60" spans="7:7" ht="16.5" x14ac:dyDescent="0.25">
      <c r="G60" s="1"/>
    </row>
    <row r="61" spans="7:7" ht="16.5" x14ac:dyDescent="0.25">
      <c r="G61" s="1"/>
    </row>
    <row r="62" spans="7:7" ht="16.5" x14ac:dyDescent="0.25">
      <c r="G62" s="1"/>
    </row>
    <row r="63" spans="7:7" ht="16.5" x14ac:dyDescent="0.25">
      <c r="G63" s="1"/>
    </row>
    <row r="64" spans="7:7" ht="16.5" x14ac:dyDescent="0.25">
      <c r="G64" s="1"/>
    </row>
    <row r="65" spans="7:7" ht="16.5" x14ac:dyDescent="0.25">
      <c r="G65" s="1"/>
    </row>
    <row r="66" spans="7:7" ht="16.5" x14ac:dyDescent="0.25">
      <c r="G66" s="1"/>
    </row>
    <row r="67" spans="7:7" ht="16.5" x14ac:dyDescent="0.25">
      <c r="G67" s="1"/>
    </row>
    <row r="68" spans="7:7" ht="16.5" x14ac:dyDescent="0.25">
      <c r="G68" s="1"/>
    </row>
    <row r="69" spans="7:7" ht="16.5" x14ac:dyDescent="0.25">
      <c r="G69" s="1"/>
    </row>
    <row r="70" spans="7:7" ht="16.5" x14ac:dyDescent="0.25">
      <c r="G70" s="1"/>
    </row>
    <row r="71" spans="7:7" ht="16.5" x14ac:dyDescent="0.25">
      <c r="G71" s="1"/>
    </row>
    <row r="72" spans="7:7" ht="16.5" x14ac:dyDescent="0.25">
      <c r="G72" s="1"/>
    </row>
    <row r="73" spans="7:7" ht="16.5" x14ac:dyDescent="0.25">
      <c r="G73" s="1"/>
    </row>
    <row r="74" spans="7:7" ht="16.5" x14ac:dyDescent="0.25">
      <c r="G74" s="1"/>
    </row>
    <row r="75" spans="7:7" ht="16.5" x14ac:dyDescent="0.25">
      <c r="G75" s="1"/>
    </row>
    <row r="76" spans="7:7" ht="16.5" x14ac:dyDescent="0.25">
      <c r="G76" s="1"/>
    </row>
    <row r="77" spans="7:7" ht="16.5" x14ac:dyDescent="0.25">
      <c r="G77" s="1"/>
    </row>
    <row r="78" spans="7:7" ht="16.5" x14ac:dyDescent="0.25">
      <c r="G78" s="1"/>
    </row>
    <row r="79" spans="7:7" ht="16.5" x14ac:dyDescent="0.25">
      <c r="G79" s="1"/>
    </row>
    <row r="80" spans="7:7" ht="16.5" x14ac:dyDescent="0.25">
      <c r="G80" s="1"/>
    </row>
    <row r="81" spans="7:7" ht="16.5" x14ac:dyDescent="0.25">
      <c r="G81" s="1"/>
    </row>
    <row r="82" spans="7:7" ht="16.5" x14ac:dyDescent="0.25">
      <c r="G82" s="1"/>
    </row>
    <row r="83" spans="7:7" ht="16.5" x14ac:dyDescent="0.25">
      <c r="G83" s="1"/>
    </row>
    <row r="84" spans="7:7" ht="16.5" x14ac:dyDescent="0.25">
      <c r="G84" s="1"/>
    </row>
    <row r="85" spans="7:7" ht="16.5" x14ac:dyDescent="0.25">
      <c r="G85" s="1"/>
    </row>
    <row r="86" spans="7:7" ht="16.5" x14ac:dyDescent="0.25">
      <c r="G86" s="1"/>
    </row>
    <row r="87" spans="7:7" ht="16.5" x14ac:dyDescent="0.25">
      <c r="G87" s="1"/>
    </row>
    <row r="88" spans="7:7" ht="16.5" x14ac:dyDescent="0.25">
      <c r="G88" s="1"/>
    </row>
    <row r="89" spans="7:7" ht="16.5" x14ac:dyDescent="0.25">
      <c r="G89" s="1"/>
    </row>
    <row r="90" spans="7:7" ht="16.5" x14ac:dyDescent="0.25">
      <c r="G90" s="1"/>
    </row>
    <row r="91" spans="7:7" ht="16.5" x14ac:dyDescent="0.25">
      <c r="G91" s="1"/>
    </row>
    <row r="92" spans="7:7" ht="16.5" x14ac:dyDescent="0.25">
      <c r="G92" s="1"/>
    </row>
    <row r="93" spans="7:7" ht="16.5" x14ac:dyDescent="0.25">
      <c r="G93" s="1"/>
    </row>
    <row r="94" spans="7:7" ht="16.5" x14ac:dyDescent="0.25">
      <c r="G94" s="1"/>
    </row>
    <row r="95" spans="7:7" ht="16.5" x14ac:dyDescent="0.25">
      <c r="G95" s="1"/>
    </row>
    <row r="96" spans="7:7" ht="16.5" x14ac:dyDescent="0.25">
      <c r="G96" s="1"/>
    </row>
    <row r="97" spans="7:7" ht="16.5" x14ac:dyDescent="0.25">
      <c r="G97" s="1"/>
    </row>
    <row r="98" spans="7:7" ht="16.5" x14ac:dyDescent="0.25">
      <c r="G98" s="1"/>
    </row>
    <row r="99" spans="7:7" ht="16.5" x14ac:dyDescent="0.25">
      <c r="G99" s="1"/>
    </row>
    <row r="100" spans="7:7" ht="16.5" x14ac:dyDescent="0.25">
      <c r="G100" s="1"/>
    </row>
    <row r="101" spans="7:7" ht="16.5" x14ac:dyDescent="0.25">
      <c r="G101" s="1"/>
    </row>
    <row r="102" spans="7:7" ht="16.5" x14ac:dyDescent="0.25">
      <c r="G102" s="1"/>
    </row>
    <row r="103" spans="7:7" ht="16.5" x14ac:dyDescent="0.25">
      <c r="G103" s="1"/>
    </row>
    <row r="104" spans="7:7" ht="16.5" x14ac:dyDescent="0.25">
      <c r="G104" s="1"/>
    </row>
    <row r="105" spans="7:7" ht="16.5" x14ac:dyDescent="0.25">
      <c r="G105" s="1"/>
    </row>
    <row r="106" spans="7:7" ht="16.5" x14ac:dyDescent="0.25">
      <c r="G106" s="1"/>
    </row>
    <row r="107" spans="7:7" ht="16.5" x14ac:dyDescent="0.25">
      <c r="G107" s="1"/>
    </row>
    <row r="108" spans="7:7" ht="16.5" x14ac:dyDescent="0.25">
      <c r="G108" s="1"/>
    </row>
    <row r="109" spans="7:7" ht="16.5" x14ac:dyDescent="0.25">
      <c r="G109" s="1"/>
    </row>
    <row r="110" spans="7:7" ht="16.5" x14ac:dyDescent="0.25">
      <c r="G110" s="1"/>
    </row>
    <row r="111" spans="7:7" ht="16.5" x14ac:dyDescent="0.25">
      <c r="G111" s="1"/>
    </row>
    <row r="112" spans="7:7" ht="16.5" x14ac:dyDescent="0.25">
      <c r="G112" s="1"/>
    </row>
    <row r="113" spans="7:7" ht="16.5" x14ac:dyDescent="0.25">
      <c r="G113" s="1"/>
    </row>
    <row r="114" spans="7:7" ht="16.5" x14ac:dyDescent="0.25">
      <c r="G114" s="1"/>
    </row>
    <row r="115" spans="7:7" ht="16.5" x14ac:dyDescent="0.25">
      <c r="G115" s="1"/>
    </row>
    <row r="116" spans="7:7" ht="16.5" x14ac:dyDescent="0.25">
      <c r="G116" s="1"/>
    </row>
    <row r="117" spans="7:7" ht="16.5" x14ac:dyDescent="0.25">
      <c r="G117" s="1"/>
    </row>
    <row r="118" spans="7:7" ht="16.5" x14ac:dyDescent="0.25">
      <c r="G118" s="1"/>
    </row>
    <row r="119" spans="7:7" ht="16.5" x14ac:dyDescent="0.25">
      <c r="G119" s="1"/>
    </row>
    <row r="120" spans="7:7" ht="16.5" x14ac:dyDescent="0.25">
      <c r="G120" s="1"/>
    </row>
    <row r="121" spans="7:7" ht="16.5" x14ac:dyDescent="0.25">
      <c r="G121" s="1"/>
    </row>
    <row r="122" spans="7:7" ht="16.5" x14ac:dyDescent="0.25">
      <c r="G122" s="1"/>
    </row>
    <row r="123" spans="7:7" ht="16.5" x14ac:dyDescent="0.25">
      <c r="G123" s="1"/>
    </row>
    <row r="124" spans="7:7" ht="16.5" x14ac:dyDescent="0.25">
      <c r="G124" s="1"/>
    </row>
    <row r="125" spans="7:7" ht="16.5" x14ac:dyDescent="0.25">
      <c r="G125" s="1"/>
    </row>
    <row r="126" spans="7:7" ht="16.5" x14ac:dyDescent="0.25">
      <c r="G126" s="1"/>
    </row>
    <row r="127" spans="7:7" ht="16.5" x14ac:dyDescent="0.25">
      <c r="G127" s="1"/>
    </row>
    <row r="128" spans="7:7" ht="16.5" x14ac:dyDescent="0.25">
      <c r="G128" s="1"/>
    </row>
    <row r="129" spans="7:7" ht="16.5" x14ac:dyDescent="0.25">
      <c r="G129" s="1"/>
    </row>
    <row r="130" spans="7:7" ht="16.5" x14ac:dyDescent="0.25">
      <c r="G130" s="1"/>
    </row>
    <row r="131" spans="7:7" ht="16.5" x14ac:dyDescent="0.25">
      <c r="G131" s="1"/>
    </row>
    <row r="132" spans="7:7" ht="16.5" x14ac:dyDescent="0.25">
      <c r="G132" s="1"/>
    </row>
    <row r="133" spans="7:7" ht="16.5" x14ac:dyDescent="0.25">
      <c r="G133" s="1"/>
    </row>
    <row r="134" spans="7:7" ht="16.5" x14ac:dyDescent="0.25">
      <c r="G134" s="1"/>
    </row>
    <row r="135" spans="7:7" ht="16.5" x14ac:dyDescent="0.25">
      <c r="G135" s="1"/>
    </row>
    <row r="136" spans="7:7" ht="16.5" x14ac:dyDescent="0.25">
      <c r="G136" s="1"/>
    </row>
    <row r="137" spans="7:7" ht="16.5" x14ac:dyDescent="0.25">
      <c r="G137" s="1"/>
    </row>
    <row r="138" spans="7:7" ht="16.5" x14ac:dyDescent="0.25">
      <c r="G138" s="1"/>
    </row>
    <row r="139" spans="7:7" ht="16.5" x14ac:dyDescent="0.25">
      <c r="G139" s="1"/>
    </row>
    <row r="140" spans="7:7" ht="16.5" x14ac:dyDescent="0.25">
      <c r="G140" s="1"/>
    </row>
    <row r="141" spans="7:7" ht="16.5" x14ac:dyDescent="0.25">
      <c r="G141" s="1"/>
    </row>
    <row r="142" spans="7:7" ht="16.5" x14ac:dyDescent="0.25">
      <c r="G142" s="1"/>
    </row>
    <row r="143" spans="7:7" ht="16.5" x14ac:dyDescent="0.25">
      <c r="G143" s="1"/>
    </row>
    <row r="144" spans="7:7" ht="16.5" x14ac:dyDescent="0.25">
      <c r="G144" s="1"/>
    </row>
    <row r="145" spans="7:7" ht="16.5" x14ac:dyDescent="0.25">
      <c r="G145" s="1"/>
    </row>
    <row r="146" spans="7:7" ht="16.5" x14ac:dyDescent="0.25">
      <c r="G146" s="1"/>
    </row>
    <row r="147" spans="7:7" ht="16.5" x14ac:dyDescent="0.25">
      <c r="G147" s="1"/>
    </row>
    <row r="148" spans="7:7" ht="16.5" x14ac:dyDescent="0.25">
      <c r="G148" s="1"/>
    </row>
    <row r="149" spans="7:7" ht="16.5" x14ac:dyDescent="0.25">
      <c r="G149" s="1"/>
    </row>
    <row r="150" spans="7:7" ht="16.5" x14ac:dyDescent="0.25">
      <c r="G150" s="1"/>
    </row>
    <row r="151" spans="7:7" ht="16.5" x14ac:dyDescent="0.25">
      <c r="G151" s="1"/>
    </row>
    <row r="152" spans="7:7" ht="16.5" x14ac:dyDescent="0.25">
      <c r="G152" s="1"/>
    </row>
    <row r="153" spans="7:7" ht="16.5" x14ac:dyDescent="0.25">
      <c r="G153" s="1"/>
    </row>
    <row r="154" spans="7:7" ht="16.5" x14ac:dyDescent="0.25">
      <c r="G154" s="1"/>
    </row>
    <row r="155" spans="7:7" ht="16.5" x14ac:dyDescent="0.25">
      <c r="G155" s="1"/>
    </row>
    <row r="156" spans="7:7" ht="16.5" x14ac:dyDescent="0.25">
      <c r="G156" s="1"/>
    </row>
    <row r="157" spans="7:7" ht="16.5" x14ac:dyDescent="0.25">
      <c r="G157" s="1"/>
    </row>
    <row r="158" spans="7:7" ht="16.5" x14ac:dyDescent="0.25">
      <c r="G158" s="1"/>
    </row>
    <row r="159" spans="7:7" ht="16.5" x14ac:dyDescent="0.25">
      <c r="G159" s="1"/>
    </row>
    <row r="160" spans="7:7" ht="16.5" x14ac:dyDescent="0.25">
      <c r="G160" s="1"/>
    </row>
    <row r="161" spans="7:7" ht="16.5" x14ac:dyDescent="0.25">
      <c r="G161" s="1"/>
    </row>
    <row r="162" spans="7:7" ht="16.5" x14ac:dyDescent="0.25">
      <c r="G162" s="1"/>
    </row>
    <row r="163" spans="7:7" ht="16.5" x14ac:dyDescent="0.25">
      <c r="G163" s="1"/>
    </row>
    <row r="164" spans="7:7" ht="16.5" x14ac:dyDescent="0.25">
      <c r="G164" s="1"/>
    </row>
    <row r="165" spans="7:7" ht="16.5" x14ac:dyDescent="0.25">
      <c r="G165" s="1"/>
    </row>
    <row r="166" spans="7:7" ht="16.5" x14ac:dyDescent="0.25">
      <c r="G166" s="1"/>
    </row>
    <row r="167" spans="7:7" ht="16.5" x14ac:dyDescent="0.25">
      <c r="G167" s="1"/>
    </row>
    <row r="168" spans="7:7" ht="16.5" x14ac:dyDescent="0.25">
      <c r="G168" s="1"/>
    </row>
    <row r="169" spans="7:7" ht="16.5" x14ac:dyDescent="0.25">
      <c r="G169" s="1"/>
    </row>
    <row r="170" spans="7:7" ht="16.5" x14ac:dyDescent="0.25">
      <c r="G170" s="1"/>
    </row>
    <row r="171" spans="7:7" ht="16.5" x14ac:dyDescent="0.25">
      <c r="G171" s="1"/>
    </row>
    <row r="172" spans="7:7" ht="16.5" x14ac:dyDescent="0.25">
      <c r="G172" s="1"/>
    </row>
    <row r="173" spans="7:7" ht="16.5" x14ac:dyDescent="0.25">
      <c r="G173" s="1"/>
    </row>
    <row r="174" spans="7:7" ht="16.5" x14ac:dyDescent="0.25">
      <c r="G174" s="1"/>
    </row>
    <row r="175" spans="7:7" ht="16.5" x14ac:dyDescent="0.25">
      <c r="G175" s="1"/>
    </row>
    <row r="176" spans="7:7" ht="16.5" x14ac:dyDescent="0.25">
      <c r="G176" s="1"/>
    </row>
    <row r="177" spans="7:7" ht="16.5" x14ac:dyDescent="0.25">
      <c r="G177" s="1"/>
    </row>
    <row r="178" spans="7:7" ht="16.5" x14ac:dyDescent="0.25">
      <c r="G178" s="1"/>
    </row>
    <row r="179" spans="7:7" ht="16.5" x14ac:dyDescent="0.25">
      <c r="G179" s="1"/>
    </row>
    <row r="180" spans="7:7" ht="16.5" x14ac:dyDescent="0.25">
      <c r="G180" s="1"/>
    </row>
    <row r="181" spans="7:7" ht="16.5" x14ac:dyDescent="0.25">
      <c r="G181" s="1"/>
    </row>
    <row r="182" spans="7:7" ht="16.5" x14ac:dyDescent="0.25">
      <c r="G182" s="1"/>
    </row>
    <row r="183" spans="7:7" ht="16.5" x14ac:dyDescent="0.25">
      <c r="G183" s="1"/>
    </row>
    <row r="184" spans="7:7" ht="16.5" x14ac:dyDescent="0.25">
      <c r="G184" s="1"/>
    </row>
    <row r="185" spans="7:7" ht="16.5" x14ac:dyDescent="0.25">
      <c r="G185" s="1"/>
    </row>
    <row r="186" spans="7:7" ht="16.5" x14ac:dyDescent="0.25">
      <c r="G186" s="1"/>
    </row>
    <row r="187" spans="7:7" ht="16.5" x14ac:dyDescent="0.25">
      <c r="G187" s="1"/>
    </row>
    <row r="188" spans="7:7" ht="16.5" x14ac:dyDescent="0.25">
      <c r="G188" s="1"/>
    </row>
    <row r="189" spans="7:7" ht="16.5" x14ac:dyDescent="0.25">
      <c r="G189" s="1"/>
    </row>
    <row r="190" spans="7:7" ht="16.5" x14ac:dyDescent="0.25">
      <c r="G190" s="1"/>
    </row>
    <row r="191" spans="7:7" ht="16.5" x14ac:dyDescent="0.25">
      <c r="G191" s="1"/>
    </row>
    <row r="192" spans="7:7" ht="16.5" x14ac:dyDescent="0.25">
      <c r="G192" s="1"/>
    </row>
    <row r="193" spans="7:7" ht="16.5" x14ac:dyDescent="0.25">
      <c r="G193" s="1"/>
    </row>
    <row r="194" spans="7:7" ht="16.5" x14ac:dyDescent="0.25">
      <c r="G194" s="1"/>
    </row>
    <row r="195" spans="7:7" ht="16.5" x14ac:dyDescent="0.25">
      <c r="G195" s="1"/>
    </row>
    <row r="196" spans="7:7" ht="16.5" x14ac:dyDescent="0.25">
      <c r="G196" s="1"/>
    </row>
    <row r="197" spans="7:7" ht="16.5" x14ac:dyDescent="0.25">
      <c r="G197" s="1"/>
    </row>
    <row r="198" spans="7:7" ht="16.5" x14ac:dyDescent="0.25">
      <c r="G198" s="1"/>
    </row>
    <row r="199" spans="7:7" ht="16.5" x14ac:dyDescent="0.25">
      <c r="G199" s="1"/>
    </row>
    <row r="200" spans="7:7" ht="16.5" x14ac:dyDescent="0.25">
      <c r="G200" s="1"/>
    </row>
    <row r="201" spans="7:7" ht="16.5" x14ac:dyDescent="0.25">
      <c r="G201" s="1"/>
    </row>
    <row r="202" spans="7:7" ht="16.5" x14ac:dyDescent="0.25">
      <c r="G202" s="1"/>
    </row>
    <row r="203" spans="7:7" ht="16.5" x14ac:dyDescent="0.25">
      <c r="G203" s="1"/>
    </row>
    <row r="204" spans="7:7" ht="16.5" x14ac:dyDescent="0.25">
      <c r="G204" s="1"/>
    </row>
    <row r="205" spans="7:7" ht="16.5" x14ac:dyDescent="0.25">
      <c r="G205" s="1"/>
    </row>
    <row r="206" spans="7:7" ht="16.5" x14ac:dyDescent="0.25">
      <c r="G206" s="1"/>
    </row>
    <row r="207" spans="7:7" ht="16.5" x14ac:dyDescent="0.25">
      <c r="G207" s="1"/>
    </row>
    <row r="208" spans="7:7" ht="16.5" x14ac:dyDescent="0.25">
      <c r="G208" s="1"/>
    </row>
    <row r="209" spans="7:7" ht="16.5" x14ac:dyDescent="0.25">
      <c r="G209" s="1"/>
    </row>
    <row r="210" spans="7:7" ht="16.5" x14ac:dyDescent="0.25">
      <c r="G210" s="1"/>
    </row>
    <row r="211" spans="7:7" ht="16.5" x14ac:dyDescent="0.25">
      <c r="G211" s="1"/>
    </row>
    <row r="212" spans="7:7" ht="16.5" x14ac:dyDescent="0.25">
      <c r="G212" s="1"/>
    </row>
    <row r="213" spans="7:7" ht="16.5" x14ac:dyDescent="0.25">
      <c r="G213" s="1"/>
    </row>
    <row r="214" spans="7:7" ht="16.5" x14ac:dyDescent="0.25">
      <c r="G214" s="1"/>
    </row>
    <row r="215" spans="7:7" ht="16.5" x14ac:dyDescent="0.25">
      <c r="G215" s="1"/>
    </row>
    <row r="216" spans="7:7" ht="16.5" x14ac:dyDescent="0.25">
      <c r="G216" s="1"/>
    </row>
    <row r="217" spans="7:7" ht="16.5" x14ac:dyDescent="0.25">
      <c r="G217" s="1"/>
    </row>
    <row r="218" spans="7:7" ht="16.5" x14ac:dyDescent="0.25">
      <c r="G218" s="1"/>
    </row>
    <row r="219" spans="7:7" ht="16.5" x14ac:dyDescent="0.25">
      <c r="G219" s="1"/>
    </row>
    <row r="220" spans="7:7" ht="16.5" x14ac:dyDescent="0.25">
      <c r="G220" s="1"/>
    </row>
    <row r="221" spans="7:7" ht="16.5" x14ac:dyDescent="0.25">
      <c r="G221" s="1"/>
    </row>
    <row r="222" spans="7:7" ht="16.5" x14ac:dyDescent="0.25">
      <c r="G222" s="1"/>
    </row>
    <row r="223" spans="7:7" ht="16.5" x14ac:dyDescent="0.25">
      <c r="G223" s="1"/>
    </row>
    <row r="224" spans="7:7" ht="16.5" x14ac:dyDescent="0.25">
      <c r="G224" s="1"/>
    </row>
    <row r="225" spans="7:7" ht="16.5" x14ac:dyDescent="0.25">
      <c r="G225" s="1"/>
    </row>
    <row r="226" spans="7:7" ht="16.5" x14ac:dyDescent="0.25">
      <c r="G226" s="1"/>
    </row>
    <row r="227" spans="7:7" ht="16.5" x14ac:dyDescent="0.25">
      <c r="G227" s="1"/>
    </row>
    <row r="228" spans="7:7" ht="16.5" x14ac:dyDescent="0.25">
      <c r="G228" s="1"/>
    </row>
    <row r="229" spans="7:7" ht="16.5" x14ac:dyDescent="0.25">
      <c r="G229" s="1"/>
    </row>
    <row r="230" spans="7:7" ht="16.5" x14ac:dyDescent="0.25">
      <c r="G230" s="1"/>
    </row>
    <row r="231" spans="7:7" ht="16.5" x14ac:dyDescent="0.25">
      <c r="G231" s="1"/>
    </row>
    <row r="232" spans="7:7" ht="16.5" x14ac:dyDescent="0.25">
      <c r="G232" s="1"/>
    </row>
    <row r="233" spans="7:7" ht="16.5" x14ac:dyDescent="0.25">
      <c r="G233" s="1"/>
    </row>
    <row r="234" spans="7:7" ht="16.5" x14ac:dyDescent="0.25">
      <c r="G234" s="1"/>
    </row>
    <row r="235" spans="7:7" ht="16.5" x14ac:dyDescent="0.25">
      <c r="G235" s="1"/>
    </row>
    <row r="236" spans="7:7" ht="16.5" x14ac:dyDescent="0.25">
      <c r="G236" s="1"/>
    </row>
    <row r="237" spans="7:7" ht="16.5" x14ac:dyDescent="0.25">
      <c r="G237" s="1"/>
    </row>
    <row r="238" spans="7:7" ht="16.5" x14ac:dyDescent="0.25">
      <c r="G238" s="1"/>
    </row>
    <row r="239" spans="7:7" ht="16.5" x14ac:dyDescent="0.25">
      <c r="G239" s="1"/>
    </row>
    <row r="240" spans="7:7" ht="16.5" x14ac:dyDescent="0.25">
      <c r="G240" s="1"/>
    </row>
    <row r="241" spans="7:7" ht="16.5" x14ac:dyDescent="0.25">
      <c r="G241" s="1"/>
    </row>
    <row r="242" spans="7:7" ht="16.5" x14ac:dyDescent="0.25">
      <c r="G242" s="1"/>
    </row>
    <row r="243" spans="7:7" ht="16.5" x14ac:dyDescent="0.25">
      <c r="G243" s="1"/>
    </row>
    <row r="244" spans="7:7" ht="16.5" x14ac:dyDescent="0.25">
      <c r="G244" s="1"/>
    </row>
    <row r="245" spans="7:7" ht="16.5" x14ac:dyDescent="0.25">
      <c r="G245" s="1"/>
    </row>
    <row r="246" spans="7:7" ht="16.5" x14ac:dyDescent="0.25">
      <c r="G246" s="1"/>
    </row>
    <row r="247" spans="7:7" ht="16.5" x14ac:dyDescent="0.25">
      <c r="G247" s="1"/>
    </row>
    <row r="248" spans="7:7" ht="16.5" x14ac:dyDescent="0.25">
      <c r="G248" s="1"/>
    </row>
    <row r="249" spans="7:7" ht="16.5" x14ac:dyDescent="0.25">
      <c r="G249" s="1"/>
    </row>
    <row r="250" spans="7:7" ht="16.5" x14ac:dyDescent="0.25">
      <c r="G250" s="1"/>
    </row>
    <row r="251" spans="7:7" ht="16.5" x14ac:dyDescent="0.25">
      <c r="G251" s="1"/>
    </row>
    <row r="252" spans="7:7" ht="16.5" x14ac:dyDescent="0.25">
      <c r="G252" s="1"/>
    </row>
    <row r="253" spans="7:7" ht="16.5" x14ac:dyDescent="0.25">
      <c r="G253" s="1"/>
    </row>
    <row r="254" spans="7:7" ht="16.5" x14ac:dyDescent="0.25">
      <c r="G254" s="1"/>
    </row>
    <row r="255" spans="7:7" ht="16.5" x14ac:dyDescent="0.25">
      <c r="G255" s="1"/>
    </row>
    <row r="256" spans="7:7" ht="16.5" x14ac:dyDescent="0.25">
      <c r="G256" s="1"/>
    </row>
    <row r="257" spans="7:7" ht="16.5" x14ac:dyDescent="0.25">
      <c r="G257" s="1"/>
    </row>
    <row r="258" spans="7:7" ht="16.5" x14ac:dyDescent="0.25">
      <c r="G258" s="1"/>
    </row>
    <row r="259" spans="7:7" ht="16.5" x14ac:dyDescent="0.25">
      <c r="G259" s="1"/>
    </row>
    <row r="260" spans="7:7" ht="16.5" x14ac:dyDescent="0.25">
      <c r="G260" s="1"/>
    </row>
    <row r="261" spans="7:7" ht="16.5" x14ac:dyDescent="0.25">
      <c r="G261" s="1"/>
    </row>
    <row r="262" spans="7:7" ht="16.5" x14ac:dyDescent="0.25">
      <c r="G262" s="1"/>
    </row>
    <row r="263" spans="7:7" ht="16.5" x14ac:dyDescent="0.25">
      <c r="G263" s="1"/>
    </row>
    <row r="264" spans="7:7" ht="16.5" x14ac:dyDescent="0.25">
      <c r="G264" s="1"/>
    </row>
    <row r="265" spans="7:7" ht="16.5" x14ac:dyDescent="0.25">
      <c r="G265" s="1"/>
    </row>
    <row r="266" spans="7:7" ht="16.5" x14ac:dyDescent="0.25">
      <c r="G266" s="1"/>
    </row>
    <row r="267" spans="7:7" ht="16.5" x14ac:dyDescent="0.25">
      <c r="G267" s="1"/>
    </row>
    <row r="268" spans="7:7" ht="16.5" x14ac:dyDescent="0.25">
      <c r="G268" s="1"/>
    </row>
    <row r="269" spans="7:7" ht="16.5" x14ac:dyDescent="0.25">
      <c r="G269" s="1"/>
    </row>
    <row r="270" spans="7:7" ht="16.5" x14ac:dyDescent="0.25">
      <c r="G270" s="1"/>
    </row>
    <row r="271" spans="7:7" ht="16.5" x14ac:dyDescent="0.25">
      <c r="G271" s="1"/>
    </row>
    <row r="272" spans="7:7" ht="16.5" x14ac:dyDescent="0.25">
      <c r="G272" s="1"/>
    </row>
    <row r="273" spans="7:7" ht="16.5" x14ac:dyDescent="0.25">
      <c r="G273" s="1"/>
    </row>
    <row r="274" spans="7:7" ht="16.5" x14ac:dyDescent="0.25">
      <c r="G274" s="1"/>
    </row>
    <row r="275" spans="7:7" ht="16.5" x14ac:dyDescent="0.25">
      <c r="G275" s="1"/>
    </row>
    <row r="276" spans="7:7" ht="16.5" x14ac:dyDescent="0.25">
      <c r="G276" s="1"/>
    </row>
    <row r="277" spans="7:7" ht="16.5" x14ac:dyDescent="0.25">
      <c r="G277" s="1"/>
    </row>
    <row r="278" spans="7:7" ht="16.5" x14ac:dyDescent="0.25">
      <c r="G278" s="1"/>
    </row>
    <row r="279" spans="7:7" ht="16.5" x14ac:dyDescent="0.25">
      <c r="G279" s="1"/>
    </row>
    <row r="280" spans="7:7" ht="16.5" x14ac:dyDescent="0.25">
      <c r="G280" s="1"/>
    </row>
    <row r="281" spans="7:7" ht="16.5" x14ac:dyDescent="0.25">
      <c r="G281" s="1"/>
    </row>
    <row r="282" spans="7:7" ht="16.5" x14ac:dyDescent="0.25">
      <c r="G282" s="1"/>
    </row>
    <row r="283" spans="7:7" ht="16.5" x14ac:dyDescent="0.25">
      <c r="G283" s="1"/>
    </row>
    <row r="284" spans="7:7" ht="16.5" x14ac:dyDescent="0.25">
      <c r="G284" s="1"/>
    </row>
    <row r="285" spans="7:7" ht="16.5" x14ac:dyDescent="0.25">
      <c r="G285" s="1"/>
    </row>
    <row r="286" spans="7:7" ht="16.5" x14ac:dyDescent="0.25">
      <c r="G286" s="1"/>
    </row>
    <row r="287" spans="7:7" ht="16.5" x14ac:dyDescent="0.25">
      <c r="G287" s="1"/>
    </row>
    <row r="288" spans="7:7" ht="16.5" x14ac:dyDescent="0.25">
      <c r="G288" s="1"/>
    </row>
    <row r="289" spans="7:7" ht="16.5" x14ac:dyDescent="0.25">
      <c r="G289" s="1"/>
    </row>
    <row r="290" spans="7:7" ht="16.5" x14ac:dyDescent="0.25">
      <c r="G290" s="1"/>
    </row>
    <row r="291" spans="7:7" ht="16.5" x14ac:dyDescent="0.25">
      <c r="G291" s="1"/>
    </row>
    <row r="292" spans="7:7" ht="16.5" x14ac:dyDescent="0.25">
      <c r="G292" s="1"/>
    </row>
    <row r="293" spans="7:7" ht="16.5" x14ac:dyDescent="0.25">
      <c r="G293" s="1"/>
    </row>
    <row r="294" spans="7:7" ht="16.5" x14ac:dyDescent="0.25">
      <c r="G294" s="1"/>
    </row>
    <row r="295" spans="7:7" ht="16.5" x14ac:dyDescent="0.25">
      <c r="G295" s="1"/>
    </row>
    <row r="296" spans="7:7" ht="16.5" x14ac:dyDescent="0.25">
      <c r="G296" s="1"/>
    </row>
    <row r="297" spans="7:7" ht="16.5" x14ac:dyDescent="0.25">
      <c r="G297" s="1"/>
    </row>
    <row r="298" spans="7:7" ht="16.5" x14ac:dyDescent="0.25">
      <c r="G298" s="1"/>
    </row>
    <row r="299" spans="7:7" ht="16.5" x14ac:dyDescent="0.25">
      <c r="G299" s="1"/>
    </row>
    <row r="300" spans="7:7" ht="16.5" x14ac:dyDescent="0.25">
      <c r="G300" s="1"/>
    </row>
    <row r="301" spans="7:7" ht="16.5" x14ac:dyDescent="0.25">
      <c r="G301" s="1"/>
    </row>
    <row r="302" spans="7:7" ht="16.5" x14ac:dyDescent="0.25">
      <c r="G302" s="1"/>
    </row>
    <row r="303" spans="7:7" ht="16.5" x14ac:dyDescent="0.25">
      <c r="G303" s="1"/>
    </row>
    <row r="304" spans="7:7" ht="16.5" x14ac:dyDescent="0.25">
      <c r="G304" s="1"/>
    </row>
    <row r="305" spans="7:7" ht="16.5" x14ac:dyDescent="0.25">
      <c r="G305" s="1"/>
    </row>
    <row r="306" spans="7:7" ht="16.5" x14ac:dyDescent="0.25">
      <c r="G306" s="1"/>
    </row>
    <row r="307" spans="7:7" ht="16.5" x14ac:dyDescent="0.25">
      <c r="G307" s="1"/>
    </row>
    <row r="308" spans="7:7" ht="16.5" x14ac:dyDescent="0.25">
      <c r="G308" s="1"/>
    </row>
    <row r="309" spans="7:7" ht="16.5" x14ac:dyDescent="0.25">
      <c r="G309" s="1"/>
    </row>
    <row r="310" spans="7:7" ht="16.5" x14ac:dyDescent="0.25">
      <c r="G310" s="1"/>
    </row>
    <row r="311" spans="7:7" ht="16.5" x14ac:dyDescent="0.25">
      <c r="G311" s="1"/>
    </row>
    <row r="312" spans="7:7" ht="16.5" x14ac:dyDescent="0.25">
      <c r="G312" s="1"/>
    </row>
    <row r="313" spans="7:7" ht="16.5" x14ac:dyDescent="0.25">
      <c r="G313" s="1"/>
    </row>
    <row r="314" spans="7:7" ht="16.5" x14ac:dyDescent="0.25">
      <c r="G314" s="1"/>
    </row>
    <row r="315" spans="7:7" ht="16.5" x14ac:dyDescent="0.25">
      <c r="G315" s="1"/>
    </row>
    <row r="316" spans="7:7" ht="16.5" x14ac:dyDescent="0.25">
      <c r="G316" s="1"/>
    </row>
    <row r="317" spans="7:7" ht="16.5" x14ac:dyDescent="0.25">
      <c r="G317" s="1"/>
    </row>
    <row r="318" spans="7:7" ht="16.5" x14ac:dyDescent="0.25">
      <c r="G318" s="1"/>
    </row>
    <row r="319" spans="7:7" ht="16.5" x14ac:dyDescent="0.25">
      <c r="G319" s="1"/>
    </row>
    <row r="320" spans="7:7" ht="16.5" x14ac:dyDescent="0.25">
      <c r="G320" s="1"/>
    </row>
    <row r="321" spans="7:7" ht="16.5" x14ac:dyDescent="0.25">
      <c r="G321" s="1"/>
    </row>
    <row r="322" spans="7:7" ht="16.5" x14ac:dyDescent="0.25">
      <c r="G322" s="1"/>
    </row>
    <row r="323" spans="7:7" ht="16.5" x14ac:dyDescent="0.25">
      <c r="G323" s="1"/>
    </row>
    <row r="324" spans="7:7" ht="16.5" x14ac:dyDescent="0.25">
      <c r="G324" s="1"/>
    </row>
    <row r="325" spans="7:7" ht="16.5" x14ac:dyDescent="0.25">
      <c r="G325" s="1"/>
    </row>
    <row r="326" spans="7:7" ht="16.5" x14ac:dyDescent="0.25">
      <c r="G326" s="1"/>
    </row>
    <row r="327" spans="7:7" ht="16.5" x14ac:dyDescent="0.25">
      <c r="G327" s="1"/>
    </row>
    <row r="328" spans="7:7" ht="16.5" x14ac:dyDescent="0.25">
      <c r="G328" s="1"/>
    </row>
    <row r="329" spans="7:7" ht="16.5" x14ac:dyDescent="0.25">
      <c r="G329" s="1"/>
    </row>
    <row r="330" spans="7:7" ht="16.5" x14ac:dyDescent="0.25">
      <c r="G330" s="1"/>
    </row>
    <row r="331" spans="7:7" ht="16.5" x14ac:dyDescent="0.25">
      <c r="G331" s="1"/>
    </row>
    <row r="332" spans="7:7" ht="16.5" x14ac:dyDescent="0.25">
      <c r="G332" s="1"/>
    </row>
    <row r="333" spans="7:7" ht="16.5" x14ac:dyDescent="0.25">
      <c r="G333" s="1"/>
    </row>
    <row r="334" spans="7:7" ht="16.5" x14ac:dyDescent="0.25">
      <c r="G334" s="1"/>
    </row>
    <row r="335" spans="7:7" ht="16.5" x14ac:dyDescent="0.25">
      <c r="G335" s="1"/>
    </row>
    <row r="336" spans="7:7" ht="16.5" x14ac:dyDescent="0.25">
      <c r="G336" s="1"/>
    </row>
    <row r="337" spans="7:7" ht="16.5" x14ac:dyDescent="0.25">
      <c r="G337" s="1"/>
    </row>
    <row r="338" spans="7:7" ht="16.5" x14ac:dyDescent="0.25">
      <c r="G338" s="1"/>
    </row>
    <row r="339" spans="7:7" ht="16.5" x14ac:dyDescent="0.25">
      <c r="G339" s="1"/>
    </row>
    <row r="340" spans="7:7" ht="16.5" x14ac:dyDescent="0.25">
      <c r="G340" s="1"/>
    </row>
    <row r="341" spans="7:7" ht="16.5" x14ac:dyDescent="0.25">
      <c r="G341" s="1"/>
    </row>
    <row r="342" spans="7:7" ht="16.5" x14ac:dyDescent="0.25">
      <c r="G342" s="1"/>
    </row>
    <row r="343" spans="7:7" ht="16.5" x14ac:dyDescent="0.25">
      <c r="G343" s="1"/>
    </row>
    <row r="344" spans="7:7" ht="16.5" x14ac:dyDescent="0.25">
      <c r="G344" s="1"/>
    </row>
    <row r="345" spans="7:7" ht="16.5" x14ac:dyDescent="0.25">
      <c r="G345" s="1"/>
    </row>
    <row r="346" spans="7:7" ht="16.5" x14ac:dyDescent="0.25">
      <c r="G346" s="1"/>
    </row>
    <row r="347" spans="7:7" ht="16.5" x14ac:dyDescent="0.25">
      <c r="G347" s="1"/>
    </row>
    <row r="348" spans="7:7" ht="16.5" x14ac:dyDescent="0.25">
      <c r="G348" s="1"/>
    </row>
    <row r="349" spans="7:7" ht="16.5" x14ac:dyDescent="0.25">
      <c r="G349" s="1"/>
    </row>
    <row r="350" spans="7:7" ht="16.5" x14ac:dyDescent="0.25">
      <c r="G350" s="1"/>
    </row>
    <row r="351" spans="7:7" ht="16.5" x14ac:dyDescent="0.25">
      <c r="G351" s="1"/>
    </row>
    <row r="352" spans="7:7" ht="16.5" x14ac:dyDescent="0.25">
      <c r="G352" s="1"/>
    </row>
    <row r="353" spans="7:7" ht="16.5" x14ac:dyDescent="0.25">
      <c r="G353" s="1"/>
    </row>
    <row r="354" spans="7:7" ht="16.5" x14ac:dyDescent="0.25">
      <c r="G354" s="1"/>
    </row>
    <row r="355" spans="7:7" ht="16.5" x14ac:dyDescent="0.25">
      <c r="G355" s="1"/>
    </row>
    <row r="356" spans="7:7" ht="16.5" x14ac:dyDescent="0.25">
      <c r="G356" s="1"/>
    </row>
    <row r="357" spans="7:7" ht="16.5" x14ac:dyDescent="0.25">
      <c r="G357" s="1"/>
    </row>
    <row r="358" spans="7:7" ht="16.5" x14ac:dyDescent="0.25">
      <c r="G358" s="1"/>
    </row>
    <row r="359" spans="7:7" ht="16.5" x14ac:dyDescent="0.25">
      <c r="G359" s="1"/>
    </row>
    <row r="360" spans="7:7" ht="16.5" x14ac:dyDescent="0.25">
      <c r="G360" s="1"/>
    </row>
    <row r="361" spans="7:7" ht="16.5" x14ac:dyDescent="0.25">
      <c r="G361" s="1"/>
    </row>
    <row r="362" spans="7:7" ht="16.5" x14ac:dyDescent="0.25">
      <c r="G362" s="1"/>
    </row>
    <row r="363" spans="7:7" ht="16.5" x14ac:dyDescent="0.25">
      <c r="G363" s="1"/>
    </row>
    <row r="364" spans="7:7" ht="16.5" x14ac:dyDescent="0.25">
      <c r="G364" s="1"/>
    </row>
    <row r="365" spans="7:7" ht="16.5" x14ac:dyDescent="0.25">
      <c r="G365" s="1"/>
    </row>
    <row r="366" spans="7:7" ht="16.5" x14ac:dyDescent="0.25">
      <c r="G366" s="1"/>
    </row>
    <row r="367" spans="7:7" ht="16.5" x14ac:dyDescent="0.25">
      <c r="G367" s="1"/>
    </row>
    <row r="368" spans="7:7" ht="16.5" x14ac:dyDescent="0.25">
      <c r="G368" s="1"/>
    </row>
    <row r="369" spans="7:7" ht="16.5" x14ac:dyDescent="0.25">
      <c r="G369" s="1"/>
    </row>
    <row r="370" spans="7:7" ht="16.5" x14ac:dyDescent="0.25">
      <c r="G370" s="1"/>
    </row>
    <row r="371" spans="7:7" ht="16.5" x14ac:dyDescent="0.25">
      <c r="G371" s="1"/>
    </row>
    <row r="372" spans="7:7" ht="16.5" x14ac:dyDescent="0.25">
      <c r="G372" s="1"/>
    </row>
    <row r="373" spans="7:7" ht="16.5" x14ac:dyDescent="0.25">
      <c r="G373" s="1"/>
    </row>
    <row r="374" spans="7:7" ht="16.5" x14ac:dyDescent="0.25">
      <c r="G374" s="1"/>
    </row>
    <row r="375" spans="7:7" ht="16.5" x14ac:dyDescent="0.25">
      <c r="G375" s="1"/>
    </row>
    <row r="376" spans="7:7" ht="16.5" x14ac:dyDescent="0.25">
      <c r="G376" s="1"/>
    </row>
    <row r="377" spans="7:7" ht="16.5" x14ac:dyDescent="0.25">
      <c r="G377" s="1"/>
    </row>
    <row r="378" spans="7:7" ht="16.5" x14ac:dyDescent="0.25">
      <c r="G378" s="1"/>
    </row>
    <row r="379" spans="7:7" ht="16.5" x14ac:dyDescent="0.25">
      <c r="G379" s="1"/>
    </row>
    <row r="380" spans="7:7" ht="16.5" x14ac:dyDescent="0.25">
      <c r="G380" s="1"/>
    </row>
    <row r="381" spans="7:7" ht="16.5" x14ac:dyDescent="0.25">
      <c r="G381" s="1"/>
    </row>
    <row r="382" spans="7:7" ht="16.5" x14ac:dyDescent="0.25">
      <c r="G382" s="1"/>
    </row>
    <row r="383" spans="7:7" ht="16.5" x14ac:dyDescent="0.25">
      <c r="G383" s="1"/>
    </row>
    <row r="384" spans="7:7" ht="16.5" x14ac:dyDescent="0.25">
      <c r="G384" s="1"/>
    </row>
    <row r="385" spans="7:7" ht="16.5" x14ac:dyDescent="0.25">
      <c r="G385" s="1"/>
    </row>
    <row r="386" spans="7:7" ht="16.5" x14ac:dyDescent="0.25">
      <c r="G386" s="1"/>
    </row>
    <row r="387" spans="7:7" ht="16.5" x14ac:dyDescent="0.25">
      <c r="G387" s="1"/>
    </row>
    <row r="388" spans="7:7" ht="16.5" x14ac:dyDescent="0.25">
      <c r="G388" s="1"/>
    </row>
    <row r="389" spans="7:7" ht="16.5" x14ac:dyDescent="0.25">
      <c r="G389" s="1"/>
    </row>
    <row r="390" spans="7:7" ht="16.5" x14ac:dyDescent="0.25">
      <c r="G390" s="1"/>
    </row>
    <row r="391" spans="7:7" ht="16.5" x14ac:dyDescent="0.25">
      <c r="G391" s="1"/>
    </row>
    <row r="392" spans="7:7" ht="16.5" x14ac:dyDescent="0.25">
      <c r="G392" s="1"/>
    </row>
    <row r="393" spans="7:7" ht="16.5" x14ac:dyDescent="0.25">
      <c r="G393" s="1"/>
    </row>
    <row r="394" spans="7:7" ht="16.5" x14ac:dyDescent="0.25">
      <c r="G394" s="1"/>
    </row>
    <row r="395" spans="7:7" ht="16.5" x14ac:dyDescent="0.25">
      <c r="G395" s="1"/>
    </row>
    <row r="396" spans="7:7" ht="16.5" x14ac:dyDescent="0.25">
      <c r="G396" s="1"/>
    </row>
    <row r="397" spans="7:7" ht="16.5" x14ac:dyDescent="0.25">
      <c r="G397" s="1"/>
    </row>
    <row r="398" spans="7:7" ht="16.5" x14ac:dyDescent="0.25">
      <c r="G398" s="1"/>
    </row>
    <row r="399" spans="7:7" ht="16.5" x14ac:dyDescent="0.25">
      <c r="G399" s="1"/>
    </row>
    <row r="400" spans="7:7" ht="16.5" x14ac:dyDescent="0.25">
      <c r="G400" s="1"/>
    </row>
    <row r="401" spans="7:7" ht="16.5" x14ac:dyDescent="0.25">
      <c r="G401" s="1"/>
    </row>
    <row r="402" spans="7:7" ht="16.5" x14ac:dyDescent="0.25">
      <c r="G402" s="1"/>
    </row>
    <row r="403" spans="7:7" ht="16.5" x14ac:dyDescent="0.25">
      <c r="G403" s="1"/>
    </row>
    <row r="404" spans="7:7" ht="16.5" x14ac:dyDescent="0.25">
      <c r="G404" s="1"/>
    </row>
    <row r="405" spans="7:7" ht="16.5" x14ac:dyDescent="0.25">
      <c r="G405" s="1"/>
    </row>
    <row r="406" spans="7:7" ht="16.5" x14ac:dyDescent="0.25">
      <c r="G406" s="1"/>
    </row>
    <row r="407" spans="7:7" ht="16.5" x14ac:dyDescent="0.25">
      <c r="G407" s="1"/>
    </row>
    <row r="408" spans="7:7" ht="16.5" x14ac:dyDescent="0.25">
      <c r="G408" s="1"/>
    </row>
    <row r="409" spans="7:7" ht="16.5" x14ac:dyDescent="0.25">
      <c r="G409" s="1"/>
    </row>
    <row r="410" spans="7:7" ht="16.5" x14ac:dyDescent="0.25">
      <c r="G410" s="1"/>
    </row>
    <row r="411" spans="7:7" ht="16.5" x14ac:dyDescent="0.25">
      <c r="G411" s="1"/>
    </row>
    <row r="412" spans="7:7" ht="16.5" x14ac:dyDescent="0.25">
      <c r="G412" s="1"/>
    </row>
    <row r="413" spans="7:7" ht="16.5" x14ac:dyDescent="0.25">
      <c r="G413" s="1"/>
    </row>
    <row r="414" spans="7:7" ht="16.5" x14ac:dyDescent="0.25">
      <c r="G414" s="1"/>
    </row>
    <row r="415" spans="7:7" ht="16.5" x14ac:dyDescent="0.25">
      <c r="G415" s="1"/>
    </row>
    <row r="416" spans="7:7" ht="16.5" x14ac:dyDescent="0.25">
      <c r="G416" s="1"/>
    </row>
    <row r="417" spans="7:7" ht="16.5" x14ac:dyDescent="0.25">
      <c r="G417" s="1"/>
    </row>
    <row r="418" spans="7:7" ht="16.5" x14ac:dyDescent="0.25">
      <c r="G418" s="1"/>
    </row>
    <row r="419" spans="7:7" ht="16.5" x14ac:dyDescent="0.25">
      <c r="G419" s="1"/>
    </row>
    <row r="420" spans="7:7" ht="16.5" x14ac:dyDescent="0.25">
      <c r="G420" s="1"/>
    </row>
    <row r="421" spans="7:7" ht="16.5" x14ac:dyDescent="0.25">
      <c r="G421" s="1"/>
    </row>
    <row r="422" spans="7:7" ht="16.5" x14ac:dyDescent="0.25">
      <c r="G422" s="1"/>
    </row>
    <row r="423" spans="7:7" ht="16.5" x14ac:dyDescent="0.25">
      <c r="G423" s="1"/>
    </row>
    <row r="424" spans="7:7" ht="16.5" x14ac:dyDescent="0.25">
      <c r="G424" s="1"/>
    </row>
    <row r="425" spans="7:7" ht="16.5" x14ac:dyDescent="0.25">
      <c r="G425" s="1"/>
    </row>
    <row r="426" spans="7:7" ht="16.5" x14ac:dyDescent="0.25">
      <c r="G426" s="1"/>
    </row>
    <row r="427" spans="7:7" ht="16.5" x14ac:dyDescent="0.25">
      <c r="G427" s="1"/>
    </row>
    <row r="428" spans="7:7" ht="16.5" x14ac:dyDescent="0.25">
      <c r="G428" s="1"/>
    </row>
    <row r="429" spans="7:7" ht="16.5" x14ac:dyDescent="0.25">
      <c r="G429" s="1"/>
    </row>
    <row r="430" spans="7:7" ht="16.5" x14ac:dyDescent="0.25">
      <c r="G430" s="1"/>
    </row>
    <row r="431" spans="7:7" ht="16.5" x14ac:dyDescent="0.25">
      <c r="G431" s="1"/>
    </row>
    <row r="432" spans="7:7" ht="16.5" x14ac:dyDescent="0.25">
      <c r="G432" s="1"/>
    </row>
    <row r="433" spans="7:7" ht="16.5" x14ac:dyDescent="0.25">
      <c r="G433" s="1"/>
    </row>
    <row r="434" spans="7:7" ht="16.5" x14ac:dyDescent="0.25">
      <c r="G434" s="1"/>
    </row>
    <row r="435" spans="7:7" ht="16.5" x14ac:dyDescent="0.25">
      <c r="G435" s="1"/>
    </row>
    <row r="436" spans="7:7" ht="16.5" x14ac:dyDescent="0.25">
      <c r="G436" s="1"/>
    </row>
    <row r="437" spans="7:7" ht="16.5" x14ac:dyDescent="0.25">
      <c r="G437" s="1"/>
    </row>
    <row r="438" spans="7:7" ht="16.5" x14ac:dyDescent="0.25">
      <c r="G438" s="1"/>
    </row>
    <row r="439" spans="7:7" ht="16.5" x14ac:dyDescent="0.25">
      <c r="G439" s="1"/>
    </row>
    <row r="440" spans="7:7" ht="16.5" x14ac:dyDescent="0.25">
      <c r="G440" s="1"/>
    </row>
    <row r="441" spans="7:7" ht="16.5" x14ac:dyDescent="0.25">
      <c r="G441" s="1"/>
    </row>
    <row r="442" spans="7:7" ht="16.5" x14ac:dyDescent="0.25">
      <c r="G442" s="1"/>
    </row>
    <row r="443" spans="7:7" ht="16.5" x14ac:dyDescent="0.25">
      <c r="G443" s="1"/>
    </row>
    <row r="444" spans="7:7" ht="16.5" x14ac:dyDescent="0.25">
      <c r="G444" s="1"/>
    </row>
    <row r="445" spans="7:7" ht="16.5" x14ac:dyDescent="0.25">
      <c r="G445" s="1"/>
    </row>
    <row r="446" spans="7:7" ht="16.5" x14ac:dyDescent="0.25">
      <c r="G446" s="1"/>
    </row>
    <row r="447" spans="7:7" ht="16.5" x14ac:dyDescent="0.25">
      <c r="G447" s="1"/>
    </row>
    <row r="448" spans="7:7" ht="16.5" x14ac:dyDescent="0.25">
      <c r="G448" s="1"/>
    </row>
    <row r="449" spans="7:7" ht="16.5" x14ac:dyDescent="0.25">
      <c r="G449" s="1"/>
    </row>
    <row r="450" spans="7:7" ht="16.5" x14ac:dyDescent="0.25">
      <c r="G450" s="1"/>
    </row>
    <row r="451" spans="7:7" ht="16.5" x14ac:dyDescent="0.25">
      <c r="G451" s="1"/>
    </row>
    <row r="452" spans="7:7" ht="16.5" x14ac:dyDescent="0.25">
      <c r="G452" s="1"/>
    </row>
    <row r="453" spans="7:7" ht="16.5" x14ac:dyDescent="0.25">
      <c r="G453" s="1"/>
    </row>
    <row r="454" spans="7:7" ht="16.5" x14ac:dyDescent="0.25">
      <c r="G454" s="1"/>
    </row>
    <row r="455" spans="7:7" ht="16.5" x14ac:dyDescent="0.25">
      <c r="G455" s="1"/>
    </row>
    <row r="456" spans="7:7" ht="16.5" x14ac:dyDescent="0.25">
      <c r="G456" s="1"/>
    </row>
    <row r="457" spans="7:7" ht="16.5" x14ac:dyDescent="0.25">
      <c r="G457" s="1"/>
    </row>
    <row r="458" spans="7:7" ht="16.5" x14ac:dyDescent="0.25">
      <c r="G458" s="1"/>
    </row>
    <row r="459" spans="7:7" ht="16.5" x14ac:dyDescent="0.25">
      <c r="G459" s="1"/>
    </row>
    <row r="460" spans="7:7" ht="16.5" x14ac:dyDescent="0.25">
      <c r="G460" s="1"/>
    </row>
    <row r="461" spans="7:7" ht="16.5" x14ac:dyDescent="0.25">
      <c r="G461" s="1"/>
    </row>
    <row r="462" spans="7:7" ht="16.5" x14ac:dyDescent="0.25">
      <c r="G462" s="1"/>
    </row>
    <row r="463" spans="7:7" ht="16.5" x14ac:dyDescent="0.25">
      <c r="G463" s="1"/>
    </row>
    <row r="464" spans="7:7" ht="16.5" x14ac:dyDescent="0.25">
      <c r="G464" s="1"/>
    </row>
    <row r="465" spans="7:7" ht="16.5" x14ac:dyDescent="0.25">
      <c r="G465" s="1"/>
    </row>
    <row r="466" spans="7:7" ht="16.5" x14ac:dyDescent="0.25">
      <c r="G466" s="1"/>
    </row>
    <row r="467" spans="7:7" ht="16.5" x14ac:dyDescent="0.25">
      <c r="G467" s="1"/>
    </row>
    <row r="468" spans="7:7" ht="16.5" x14ac:dyDescent="0.25">
      <c r="G468" s="1"/>
    </row>
    <row r="469" spans="7:7" ht="16.5" x14ac:dyDescent="0.25">
      <c r="G469" s="1"/>
    </row>
    <row r="470" spans="7:7" ht="16.5" x14ac:dyDescent="0.25">
      <c r="G470" s="1"/>
    </row>
    <row r="471" spans="7:7" ht="16.5" x14ac:dyDescent="0.25">
      <c r="G471" s="1"/>
    </row>
    <row r="472" spans="7:7" ht="16.5" x14ac:dyDescent="0.25">
      <c r="G472" s="1"/>
    </row>
    <row r="473" spans="7:7" ht="16.5" x14ac:dyDescent="0.25">
      <c r="G473" s="1"/>
    </row>
    <row r="474" spans="7:7" ht="16.5" x14ac:dyDescent="0.25">
      <c r="G474" s="1"/>
    </row>
    <row r="475" spans="7:7" ht="16.5" x14ac:dyDescent="0.25">
      <c r="G475" s="1"/>
    </row>
    <row r="476" spans="7:7" ht="16.5" x14ac:dyDescent="0.25">
      <c r="G476" s="1"/>
    </row>
    <row r="477" spans="7:7" ht="16.5" x14ac:dyDescent="0.25">
      <c r="G477" s="1"/>
    </row>
    <row r="478" spans="7:7" ht="16.5" x14ac:dyDescent="0.25">
      <c r="G478" s="1"/>
    </row>
    <row r="479" spans="7:7" ht="16.5" x14ac:dyDescent="0.25">
      <c r="G479" s="1"/>
    </row>
    <row r="480" spans="7:7" ht="16.5" x14ac:dyDescent="0.25">
      <c r="G480" s="1"/>
    </row>
    <row r="481" spans="7:7" ht="16.5" x14ac:dyDescent="0.25">
      <c r="G481" s="1"/>
    </row>
    <row r="482" spans="7:7" ht="16.5" x14ac:dyDescent="0.25">
      <c r="G482" s="1"/>
    </row>
    <row r="483" spans="7:7" ht="16.5" x14ac:dyDescent="0.25">
      <c r="G483" s="1"/>
    </row>
    <row r="484" spans="7:7" ht="16.5" x14ac:dyDescent="0.25">
      <c r="G484" s="1"/>
    </row>
    <row r="485" spans="7:7" ht="16.5" x14ac:dyDescent="0.25">
      <c r="G485" s="1"/>
    </row>
    <row r="486" spans="7:7" ht="16.5" x14ac:dyDescent="0.25">
      <c r="G486" s="1"/>
    </row>
    <row r="487" spans="7:7" ht="16.5" x14ac:dyDescent="0.25">
      <c r="G487" s="1"/>
    </row>
    <row r="488" spans="7:7" ht="16.5" x14ac:dyDescent="0.25">
      <c r="G488" s="1"/>
    </row>
    <row r="489" spans="7:7" ht="16.5" x14ac:dyDescent="0.25">
      <c r="G489" s="1"/>
    </row>
    <row r="490" spans="7:7" ht="16.5" x14ac:dyDescent="0.25">
      <c r="G490" s="1"/>
    </row>
    <row r="491" spans="7:7" ht="16.5" x14ac:dyDescent="0.25">
      <c r="G491" s="1"/>
    </row>
    <row r="492" spans="7:7" ht="16.5" x14ac:dyDescent="0.25">
      <c r="G492" s="1"/>
    </row>
    <row r="493" spans="7:7" ht="16.5" x14ac:dyDescent="0.25">
      <c r="G493" s="1"/>
    </row>
    <row r="494" spans="7:7" ht="16.5" x14ac:dyDescent="0.25">
      <c r="G494" s="1"/>
    </row>
    <row r="495" spans="7:7" ht="16.5" x14ac:dyDescent="0.25">
      <c r="G495" s="1"/>
    </row>
    <row r="496" spans="7:7" ht="16.5" x14ac:dyDescent="0.25">
      <c r="G496" s="1"/>
    </row>
    <row r="497" spans="7:7" ht="16.5" x14ac:dyDescent="0.25">
      <c r="G497" s="1"/>
    </row>
    <row r="498" spans="7:7" ht="16.5" x14ac:dyDescent="0.25">
      <c r="G498" s="1"/>
    </row>
    <row r="499" spans="7:7" ht="16.5" x14ac:dyDescent="0.25">
      <c r="G499" s="1"/>
    </row>
    <row r="500" spans="7:7" ht="16.5" x14ac:dyDescent="0.25">
      <c r="G500" s="1"/>
    </row>
    <row r="501" spans="7:7" ht="16.5" x14ac:dyDescent="0.25">
      <c r="G501" s="1"/>
    </row>
    <row r="502" spans="7:7" ht="16.5" x14ac:dyDescent="0.25">
      <c r="G502" s="1"/>
    </row>
    <row r="503" spans="7:7" ht="16.5" x14ac:dyDescent="0.25">
      <c r="G503" s="1"/>
    </row>
    <row r="504" spans="7:7" ht="16.5" x14ac:dyDescent="0.25">
      <c r="G504" s="1"/>
    </row>
    <row r="505" spans="7:7" ht="16.5" x14ac:dyDescent="0.25">
      <c r="G505" s="1"/>
    </row>
    <row r="506" spans="7:7" ht="16.5" x14ac:dyDescent="0.25">
      <c r="G506" s="1"/>
    </row>
    <row r="507" spans="7:7" ht="16.5" x14ac:dyDescent="0.25">
      <c r="G507" s="1"/>
    </row>
    <row r="508" spans="7:7" ht="16.5" x14ac:dyDescent="0.25">
      <c r="G508" s="1"/>
    </row>
    <row r="509" spans="7:7" ht="16.5" x14ac:dyDescent="0.25">
      <c r="G509" s="1"/>
    </row>
    <row r="510" spans="7:7" ht="16.5" x14ac:dyDescent="0.25">
      <c r="G510" s="1"/>
    </row>
    <row r="511" spans="7:7" ht="16.5" x14ac:dyDescent="0.25">
      <c r="G511" s="1"/>
    </row>
    <row r="512" spans="7:7" ht="16.5" x14ac:dyDescent="0.25">
      <c r="G512" s="1"/>
    </row>
    <row r="513" spans="7:7" ht="16.5" x14ac:dyDescent="0.25">
      <c r="G513" s="1"/>
    </row>
    <row r="514" spans="7:7" ht="16.5" x14ac:dyDescent="0.25">
      <c r="G514" s="1"/>
    </row>
    <row r="515" spans="7:7" ht="16.5" x14ac:dyDescent="0.25">
      <c r="G515" s="1"/>
    </row>
    <row r="516" spans="7:7" ht="16.5" x14ac:dyDescent="0.25">
      <c r="G516" s="1"/>
    </row>
    <row r="517" spans="7:7" ht="16.5" x14ac:dyDescent="0.25">
      <c r="G517" s="1"/>
    </row>
    <row r="518" spans="7:7" ht="16.5" x14ac:dyDescent="0.25">
      <c r="G518" s="1"/>
    </row>
    <row r="519" spans="7:7" ht="16.5" x14ac:dyDescent="0.25">
      <c r="G519" s="1"/>
    </row>
    <row r="520" spans="7:7" ht="16.5" x14ac:dyDescent="0.25">
      <c r="G520" s="1"/>
    </row>
    <row r="521" spans="7:7" ht="16.5" x14ac:dyDescent="0.25">
      <c r="G521" s="1"/>
    </row>
    <row r="522" spans="7:7" ht="16.5" x14ac:dyDescent="0.25">
      <c r="G522" s="1"/>
    </row>
    <row r="523" spans="7:7" ht="16.5" x14ac:dyDescent="0.25">
      <c r="G523" s="1"/>
    </row>
    <row r="524" spans="7:7" ht="16.5" x14ac:dyDescent="0.25">
      <c r="G524" s="1"/>
    </row>
    <row r="525" spans="7:7" ht="16.5" x14ac:dyDescent="0.25">
      <c r="G525" s="1"/>
    </row>
    <row r="526" spans="7:7" ht="16.5" x14ac:dyDescent="0.25">
      <c r="G526" s="1"/>
    </row>
    <row r="527" spans="7:7" ht="16.5" x14ac:dyDescent="0.25">
      <c r="G527" s="1"/>
    </row>
    <row r="528" spans="7:7" ht="16.5" x14ac:dyDescent="0.25">
      <c r="G528" s="1"/>
    </row>
    <row r="529" spans="7:7" ht="16.5" x14ac:dyDescent="0.25">
      <c r="G529" s="1"/>
    </row>
    <row r="530" spans="7:7" ht="16.5" x14ac:dyDescent="0.25">
      <c r="G530" s="1"/>
    </row>
    <row r="531" spans="7:7" ht="16.5" x14ac:dyDescent="0.25">
      <c r="G531" s="1"/>
    </row>
    <row r="532" spans="7:7" ht="16.5" x14ac:dyDescent="0.25">
      <c r="G532" s="1"/>
    </row>
    <row r="533" spans="7:7" ht="16.5" x14ac:dyDescent="0.25">
      <c r="G533" s="1"/>
    </row>
    <row r="534" spans="7:7" ht="16.5" x14ac:dyDescent="0.25">
      <c r="G534" s="1"/>
    </row>
    <row r="535" spans="7:7" ht="16.5" x14ac:dyDescent="0.25">
      <c r="G535" s="1"/>
    </row>
    <row r="536" spans="7:7" ht="16.5" x14ac:dyDescent="0.25">
      <c r="G536" s="1"/>
    </row>
    <row r="537" spans="7:7" ht="16.5" x14ac:dyDescent="0.25">
      <c r="G537" s="1"/>
    </row>
    <row r="538" spans="7:7" ht="16.5" x14ac:dyDescent="0.25">
      <c r="G538" s="1"/>
    </row>
    <row r="539" spans="7:7" ht="16.5" x14ac:dyDescent="0.25">
      <c r="G539" s="1"/>
    </row>
    <row r="540" spans="7:7" ht="16.5" x14ac:dyDescent="0.25">
      <c r="G540" s="1"/>
    </row>
    <row r="541" spans="7:7" ht="16.5" x14ac:dyDescent="0.25">
      <c r="G541" s="1"/>
    </row>
    <row r="542" spans="7:7" ht="16.5" x14ac:dyDescent="0.25">
      <c r="G542" s="1"/>
    </row>
    <row r="543" spans="7:7" ht="16.5" x14ac:dyDescent="0.25">
      <c r="G543" s="1"/>
    </row>
    <row r="544" spans="7:7" ht="16.5" x14ac:dyDescent="0.25">
      <c r="G544" s="1"/>
    </row>
    <row r="545" spans="7:7" ht="16.5" x14ac:dyDescent="0.25">
      <c r="G545" s="1"/>
    </row>
    <row r="546" spans="7:7" ht="16.5" x14ac:dyDescent="0.25">
      <c r="G546" s="1"/>
    </row>
    <row r="547" spans="7:7" ht="16.5" x14ac:dyDescent="0.25">
      <c r="G547" s="1"/>
    </row>
    <row r="548" spans="7:7" ht="16.5" x14ac:dyDescent="0.25">
      <c r="G548" s="1"/>
    </row>
    <row r="549" spans="7:7" ht="16.5" x14ac:dyDescent="0.25">
      <c r="G549" s="1"/>
    </row>
    <row r="550" spans="7:7" ht="16.5" x14ac:dyDescent="0.25">
      <c r="G550" s="1"/>
    </row>
    <row r="551" spans="7:7" ht="16.5" x14ac:dyDescent="0.25">
      <c r="G551" s="1"/>
    </row>
    <row r="552" spans="7:7" ht="16.5" x14ac:dyDescent="0.25">
      <c r="G552" s="1"/>
    </row>
    <row r="553" spans="7:7" ht="16.5" x14ac:dyDescent="0.25">
      <c r="G553" s="1"/>
    </row>
    <row r="554" spans="7:7" ht="16.5" x14ac:dyDescent="0.25">
      <c r="G554" s="1"/>
    </row>
    <row r="555" spans="7:7" ht="16.5" x14ac:dyDescent="0.25">
      <c r="G555" s="1"/>
    </row>
    <row r="556" spans="7:7" ht="16.5" x14ac:dyDescent="0.25">
      <c r="G556" s="1"/>
    </row>
    <row r="557" spans="7:7" ht="16.5" x14ac:dyDescent="0.25">
      <c r="G557" s="1"/>
    </row>
    <row r="558" spans="7:7" ht="16.5" x14ac:dyDescent="0.25">
      <c r="G558" s="1"/>
    </row>
    <row r="559" spans="7:7" ht="16.5" x14ac:dyDescent="0.25">
      <c r="G559" s="1"/>
    </row>
    <row r="560" spans="7:7" ht="16.5" x14ac:dyDescent="0.25">
      <c r="G560" s="1"/>
    </row>
    <row r="561" spans="7:7" ht="16.5" x14ac:dyDescent="0.25">
      <c r="G561" s="1"/>
    </row>
    <row r="562" spans="7:7" ht="16.5" x14ac:dyDescent="0.25">
      <c r="G562" s="1"/>
    </row>
    <row r="563" spans="7:7" ht="16.5" x14ac:dyDescent="0.25">
      <c r="G563" s="1"/>
    </row>
    <row r="564" spans="7:7" ht="16.5" x14ac:dyDescent="0.25">
      <c r="G564" s="1"/>
    </row>
    <row r="565" spans="7:7" ht="16.5" x14ac:dyDescent="0.25">
      <c r="G565" s="1"/>
    </row>
    <row r="566" spans="7:7" ht="16.5" x14ac:dyDescent="0.25">
      <c r="G566" s="1"/>
    </row>
    <row r="567" spans="7:7" ht="16.5" x14ac:dyDescent="0.25">
      <c r="G567" s="1"/>
    </row>
    <row r="568" spans="7:7" ht="16.5" x14ac:dyDescent="0.25">
      <c r="G568" s="1"/>
    </row>
    <row r="569" spans="7:7" ht="16.5" x14ac:dyDescent="0.25">
      <c r="G569" s="1"/>
    </row>
    <row r="570" spans="7:7" ht="16.5" x14ac:dyDescent="0.25">
      <c r="G570" s="1"/>
    </row>
    <row r="571" spans="7:7" ht="16.5" x14ac:dyDescent="0.25">
      <c r="G571" s="1"/>
    </row>
    <row r="572" spans="7:7" ht="16.5" x14ac:dyDescent="0.25">
      <c r="G572" s="1"/>
    </row>
    <row r="573" spans="7:7" ht="16.5" x14ac:dyDescent="0.25">
      <c r="G573" s="1"/>
    </row>
    <row r="574" spans="7:7" ht="16.5" x14ac:dyDescent="0.25">
      <c r="G574" s="1"/>
    </row>
    <row r="575" spans="7:7" ht="16.5" x14ac:dyDescent="0.25">
      <c r="G575" s="1"/>
    </row>
    <row r="576" spans="7:7" ht="16.5" x14ac:dyDescent="0.25">
      <c r="G576" s="1"/>
    </row>
    <row r="577" spans="7:7" ht="16.5" x14ac:dyDescent="0.25">
      <c r="G577" s="1"/>
    </row>
    <row r="578" spans="7:7" ht="16.5" x14ac:dyDescent="0.25">
      <c r="G578" s="1"/>
    </row>
    <row r="579" spans="7:7" ht="16.5" x14ac:dyDescent="0.25">
      <c r="G579" s="1"/>
    </row>
    <row r="580" spans="7:7" ht="16.5" x14ac:dyDescent="0.25">
      <c r="G580" s="1"/>
    </row>
    <row r="581" spans="7:7" ht="16.5" x14ac:dyDescent="0.25">
      <c r="G581" s="1"/>
    </row>
    <row r="582" spans="7:7" ht="16.5" x14ac:dyDescent="0.25">
      <c r="G582" s="1"/>
    </row>
    <row r="583" spans="7:7" ht="16.5" x14ac:dyDescent="0.25">
      <c r="G583" s="1"/>
    </row>
    <row r="584" spans="7:7" ht="16.5" x14ac:dyDescent="0.25">
      <c r="G584" s="1"/>
    </row>
    <row r="585" spans="7:7" ht="16.5" x14ac:dyDescent="0.25">
      <c r="G585" s="1"/>
    </row>
    <row r="586" spans="7:7" ht="16.5" x14ac:dyDescent="0.25">
      <c r="G586" s="1"/>
    </row>
    <row r="587" spans="7:7" ht="16.5" x14ac:dyDescent="0.25">
      <c r="G587" s="1"/>
    </row>
    <row r="588" spans="7:7" ht="16.5" x14ac:dyDescent="0.25">
      <c r="G588" s="1"/>
    </row>
    <row r="589" spans="7:7" ht="16.5" x14ac:dyDescent="0.25">
      <c r="G589" s="1"/>
    </row>
    <row r="590" spans="7:7" ht="16.5" x14ac:dyDescent="0.25">
      <c r="G590" s="1"/>
    </row>
    <row r="591" spans="7:7" ht="16.5" x14ac:dyDescent="0.25">
      <c r="G591" s="1"/>
    </row>
    <row r="592" spans="7:7" ht="16.5" x14ac:dyDescent="0.25">
      <c r="G592" s="1"/>
    </row>
    <row r="593" spans="7:7" ht="16.5" x14ac:dyDescent="0.25">
      <c r="G593" s="1"/>
    </row>
    <row r="594" spans="7:7" ht="16.5" x14ac:dyDescent="0.25">
      <c r="G594" s="1"/>
    </row>
    <row r="595" spans="7:7" ht="16.5" x14ac:dyDescent="0.25">
      <c r="G595" s="1"/>
    </row>
    <row r="596" spans="7:7" ht="16.5" x14ac:dyDescent="0.25">
      <c r="G596" s="1"/>
    </row>
    <row r="597" spans="7:7" ht="16.5" x14ac:dyDescent="0.25">
      <c r="G597" s="1"/>
    </row>
    <row r="598" spans="7:7" ht="16.5" x14ac:dyDescent="0.25">
      <c r="G598" s="1"/>
    </row>
    <row r="599" spans="7:7" ht="16.5" x14ac:dyDescent="0.25">
      <c r="G599" s="1"/>
    </row>
    <row r="600" spans="7:7" ht="16.5" x14ac:dyDescent="0.25">
      <c r="G600" s="1"/>
    </row>
    <row r="601" spans="7:7" ht="16.5" x14ac:dyDescent="0.25">
      <c r="G601" s="1"/>
    </row>
    <row r="602" spans="7:7" ht="16.5" x14ac:dyDescent="0.25">
      <c r="G602" s="1"/>
    </row>
    <row r="603" spans="7:7" ht="16.5" x14ac:dyDescent="0.25">
      <c r="G603" s="1"/>
    </row>
    <row r="604" spans="7:7" ht="16.5" x14ac:dyDescent="0.25">
      <c r="G604" s="1"/>
    </row>
    <row r="605" spans="7:7" ht="16.5" x14ac:dyDescent="0.25">
      <c r="G605" s="1"/>
    </row>
    <row r="606" spans="7:7" ht="16.5" x14ac:dyDescent="0.25">
      <c r="G606" s="1"/>
    </row>
    <row r="607" spans="7:7" ht="16.5" x14ac:dyDescent="0.25">
      <c r="G607" s="1"/>
    </row>
    <row r="608" spans="7:7" ht="16.5" x14ac:dyDescent="0.25">
      <c r="G608" s="1"/>
    </row>
    <row r="609" spans="7:7" ht="16.5" x14ac:dyDescent="0.25">
      <c r="G609" s="1"/>
    </row>
    <row r="610" spans="7:7" ht="16.5" x14ac:dyDescent="0.25">
      <c r="G610" s="1"/>
    </row>
    <row r="611" spans="7:7" ht="16.5" x14ac:dyDescent="0.25">
      <c r="G611" s="1"/>
    </row>
    <row r="612" spans="7:7" ht="16.5" x14ac:dyDescent="0.25">
      <c r="G612" s="1"/>
    </row>
    <row r="613" spans="7:7" ht="16.5" x14ac:dyDescent="0.25">
      <c r="G613" s="1"/>
    </row>
    <row r="614" spans="7:7" ht="16.5" x14ac:dyDescent="0.25">
      <c r="G614" s="1"/>
    </row>
    <row r="615" spans="7:7" ht="16.5" x14ac:dyDescent="0.25">
      <c r="G615" s="1"/>
    </row>
    <row r="616" spans="7:7" ht="16.5" x14ac:dyDescent="0.25">
      <c r="G616" s="1"/>
    </row>
    <row r="617" spans="7:7" ht="16.5" x14ac:dyDescent="0.25">
      <c r="G617" s="1"/>
    </row>
    <row r="618" spans="7:7" ht="16.5" x14ac:dyDescent="0.25">
      <c r="G618" s="1"/>
    </row>
    <row r="619" spans="7:7" ht="16.5" x14ac:dyDescent="0.25">
      <c r="G619" s="1"/>
    </row>
    <row r="620" spans="7:7" ht="16.5" x14ac:dyDescent="0.25">
      <c r="G620" s="1"/>
    </row>
    <row r="621" spans="7:7" ht="16.5" x14ac:dyDescent="0.25">
      <c r="G621" s="1"/>
    </row>
    <row r="622" spans="7:7" ht="16.5" x14ac:dyDescent="0.25">
      <c r="G622" s="1"/>
    </row>
    <row r="623" spans="7:7" ht="16.5" x14ac:dyDescent="0.25">
      <c r="G623" s="1"/>
    </row>
    <row r="624" spans="7:7" ht="16.5" x14ac:dyDescent="0.25">
      <c r="G624" s="1"/>
    </row>
    <row r="625" spans="7:7" ht="16.5" x14ac:dyDescent="0.25">
      <c r="G625" s="1"/>
    </row>
    <row r="626" spans="7:7" ht="16.5" x14ac:dyDescent="0.25">
      <c r="G626" s="1"/>
    </row>
    <row r="627" spans="7:7" ht="16.5" x14ac:dyDescent="0.25">
      <c r="G627" s="1"/>
    </row>
    <row r="628" spans="7:7" ht="16.5" x14ac:dyDescent="0.25">
      <c r="G628" s="1"/>
    </row>
    <row r="629" spans="7:7" ht="16.5" x14ac:dyDescent="0.25">
      <c r="G629" s="1"/>
    </row>
    <row r="630" spans="7:7" ht="16.5" x14ac:dyDescent="0.25">
      <c r="G630" s="1"/>
    </row>
    <row r="631" spans="7:7" ht="16.5" x14ac:dyDescent="0.25">
      <c r="G631" s="1"/>
    </row>
    <row r="632" spans="7:7" ht="16.5" x14ac:dyDescent="0.25">
      <c r="G632" s="1"/>
    </row>
    <row r="633" spans="7:7" ht="16.5" x14ac:dyDescent="0.25">
      <c r="G633" s="1"/>
    </row>
    <row r="634" spans="7:7" ht="16.5" x14ac:dyDescent="0.25">
      <c r="G634" s="1"/>
    </row>
    <row r="635" spans="7:7" ht="16.5" x14ac:dyDescent="0.25">
      <c r="G635" s="1"/>
    </row>
    <row r="636" spans="7:7" ht="16.5" x14ac:dyDescent="0.25">
      <c r="G636" s="1"/>
    </row>
    <row r="637" spans="7:7" ht="16.5" x14ac:dyDescent="0.25">
      <c r="G637" s="1"/>
    </row>
    <row r="638" spans="7:7" ht="16.5" x14ac:dyDescent="0.25">
      <c r="G638" s="1"/>
    </row>
    <row r="639" spans="7:7" ht="16.5" x14ac:dyDescent="0.25">
      <c r="G639" s="1"/>
    </row>
    <row r="640" spans="7:7" ht="16.5" x14ac:dyDescent="0.25">
      <c r="G640" s="1"/>
    </row>
    <row r="641" spans="7:7" ht="16.5" x14ac:dyDescent="0.25">
      <c r="G641" s="1"/>
    </row>
    <row r="642" spans="7:7" ht="16.5" x14ac:dyDescent="0.25">
      <c r="G642" s="1"/>
    </row>
    <row r="643" spans="7:7" ht="16.5" x14ac:dyDescent="0.25">
      <c r="G643" s="1"/>
    </row>
    <row r="644" spans="7:7" ht="16.5" x14ac:dyDescent="0.25">
      <c r="G644" s="1"/>
    </row>
    <row r="645" spans="7:7" ht="16.5" x14ac:dyDescent="0.25">
      <c r="G645" s="1"/>
    </row>
    <row r="646" spans="7:7" ht="16.5" x14ac:dyDescent="0.25">
      <c r="G646" s="1"/>
    </row>
    <row r="647" spans="7:7" ht="16.5" x14ac:dyDescent="0.25">
      <c r="G647" s="1"/>
    </row>
    <row r="648" spans="7:7" ht="16.5" x14ac:dyDescent="0.25">
      <c r="G648" s="1"/>
    </row>
    <row r="649" spans="7:7" ht="16.5" x14ac:dyDescent="0.25">
      <c r="G649" s="1"/>
    </row>
    <row r="650" spans="7:7" ht="16.5" x14ac:dyDescent="0.25">
      <c r="G650" s="1"/>
    </row>
    <row r="651" spans="7:7" ht="16.5" x14ac:dyDescent="0.25">
      <c r="G651" s="1"/>
    </row>
    <row r="652" spans="7:7" ht="16.5" x14ac:dyDescent="0.25">
      <c r="G652" s="1"/>
    </row>
    <row r="653" spans="7:7" ht="16.5" x14ac:dyDescent="0.25">
      <c r="G653" s="1"/>
    </row>
    <row r="654" spans="7:7" ht="16.5" x14ac:dyDescent="0.25">
      <c r="G654" s="1"/>
    </row>
    <row r="655" spans="7:7" ht="16.5" x14ac:dyDescent="0.25">
      <c r="G655" s="1"/>
    </row>
    <row r="656" spans="7:7" ht="16.5" x14ac:dyDescent="0.25">
      <c r="G656" s="1"/>
    </row>
    <row r="657" spans="7:7" ht="16.5" x14ac:dyDescent="0.25">
      <c r="G657" s="1"/>
    </row>
    <row r="658" spans="7:7" ht="16.5" x14ac:dyDescent="0.25">
      <c r="G658" s="1"/>
    </row>
    <row r="659" spans="7:7" ht="16.5" x14ac:dyDescent="0.25">
      <c r="G659" s="1"/>
    </row>
    <row r="660" spans="7:7" ht="16.5" x14ac:dyDescent="0.25">
      <c r="G660" s="1"/>
    </row>
    <row r="661" spans="7:7" ht="16.5" x14ac:dyDescent="0.25">
      <c r="G661" s="1"/>
    </row>
    <row r="662" spans="7:7" ht="16.5" x14ac:dyDescent="0.25">
      <c r="G662" s="1"/>
    </row>
    <row r="663" spans="7:7" ht="16.5" x14ac:dyDescent="0.25">
      <c r="G663" s="1"/>
    </row>
    <row r="664" spans="7:7" ht="16.5" x14ac:dyDescent="0.25">
      <c r="G664" s="1"/>
    </row>
    <row r="665" spans="7:7" ht="16.5" x14ac:dyDescent="0.25">
      <c r="G665" s="1"/>
    </row>
    <row r="666" spans="7:7" ht="16.5" x14ac:dyDescent="0.25">
      <c r="G666" s="1"/>
    </row>
    <row r="667" spans="7:7" ht="16.5" x14ac:dyDescent="0.25">
      <c r="G667" s="1"/>
    </row>
    <row r="668" spans="7:7" ht="16.5" x14ac:dyDescent="0.25">
      <c r="G668" s="1"/>
    </row>
    <row r="669" spans="7:7" ht="16.5" x14ac:dyDescent="0.25">
      <c r="G669" s="1"/>
    </row>
    <row r="670" spans="7:7" ht="16.5" x14ac:dyDescent="0.25">
      <c r="G670" s="1"/>
    </row>
    <row r="671" spans="7:7" ht="16.5" x14ac:dyDescent="0.25">
      <c r="G671" s="1"/>
    </row>
    <row r="672" spans="7:7" ht="16.5" x14ac:dyDescent="0.25">
      <c r="G672" s="1"/>
    </row>
    <row r="673" spans="7:7" ht="16.5" x14ac:dyDescent="0.25">
      <c r="G673" s="1"/>
    </row>
    <row r="674" spans="7:7" ht="16.5" x14ac:dyDescent="0.25">
      <c r="G674" s="1"/>
    </row>
    <row r="675" spans="7:7" ht="16.5" x14ac:dyDescent="0.25">
      <c r="G675" s="1"/>
    </row>
    <row r="676" spans="7:7" ht="16.5" x14ac:dyDescent="0.25">
      <c r="G676" s="1"/>
    </row>
    <row r="677" spans="7:7" ht="16.5" x14ac:dyDescent="0.25">
      <c r="G677" s="1"/>
    </row>
    <row r="678" spans="7:7" ht="16.5" x14ac:dyDescent="0.25">
      <c r="G678" s="1"/>
    </row>
    <row r="679" spans="7:7" ht="16.5" x14ac:dyDescent="0.25">
      <c r="G679" s="1"/>
    </row>
    <row r="680" spans="7:7" ht="16.5" x14ac:dyDescent="0.25">
      <c r="G680" s="1"/>
    </row>
    <row r="681" spans="7:7" ht="16.5" x14ac:dyDescent="0.25">
      <c r="G681" s="1"/>
    </row>
    <row r="682" spans="7:7" ht="16.5" x14ac:dyDescent="0.25">
      <c r="G682" s="1"/>
    </row>
    <row r="683" spans="7:7" ht="16.5" x14ac:dyDescent="0.25">
      <c r="G683" s="1"/>
    </row>
    <row r="684" spans="7:7" ht="16.5" x14ac:dyDescent="0.25">
      <c r="G684" s="1"/>
    </row>
    <row r="685" spans="7:7" ht="16.5" x14ac:dyDescent="0.25">
      <c r="G685" s="1"/>
    </row>
    <row r="686" spans="7:7" ht="16.5" x14ac:dyDescent="0.25">
      <c r="G686" s="1"/>
    </row>
    <row r="687" spans="7:7" ht="16.5" x14ac:dyDescent="0.25">
      <c r="G687" s="1"/>
    </row>
    <row r="688" spans="7:7" ht="16.5" x14ac:dyDescent="0.25">
      <c r="G688" s="1"/>
    </row>
    <row r="689" spans="7:7" ht="16.5" x14ac:dyDescent="0.25">
      <c r="G689" s="1"/>
    </row>
    <row r="690" spans="7:7" ht="16.5" x14ac:dyDescent="0.25">
      <c r="G690" s="1"/>
    </row>
    <row r="691" spans="7:7" ht="16.5" x14ac:dyDescent="0.25">
      <c r="G691" s="1"/>
    </row>
    <row r="692" spans="7:7" ht="16.5" x14ac:dyDescent="0.25">
      <c r="G692" s="1"/>
    </row>
    <row r="693" spans="7:7" ht="16.5" x14ac:dyDescent="0.25">
      <c r="G693" s="1"/>
    </row>
    <row r="694" spans="7:7" ht="16.5" x14ac:dyDescent="0.25">
      <c r="G694" s="1"/>
    </row>
    <row r="695" spans="7:7" ht="16.5" x14ac:dyDescent="0.25">
      <c r="G695" s="1"/>
    </row>
    <row r="696" spans="7:7" ht="16.5" x14ac:dyDescent="0.25">
      <c r="G696" s="1"/>
    </row>
    <row r="697" spans="7:7" ht="16.5" x14ac:dyDescent="0.25">
      <c r="G697" s="1"/>
    </row>
    <row r="698" spans="7:7" ht="16.5" x14ac:dyDescent="0.25">
      <c r="G698" s="1"/>
    </row>
    <row r="699" spans="7:7" ht="16.5" x14ac:dyDescent="0.25">
      <c r="G699" s="1"/>
    </row>
    <row r="700" spans="7:7" ht="16.5" x14ac:dyDescent="0.25">
      <c r="G700" s="1"/>
    </row>
    <row r="701" spans="7:7" ht="16.5" x14ac:dyDescent="0.25">
      <c r="G701" s="1"/>
    </row>
    <row r="702" spans="7:7" ht="16.5" x14ac:dyDescent="0.25">
      <c r="G702" s="1"/>
    </row>
    <row r="703" spans="7:7" ht="16.5" x14ac:dyDescent="0.25">
      <c r="G703" s="1"/>
    </row>
    <row r="704" spans="7:7" ht="16.5" x14ac:dyDescent="0.25">
      <c r="G704" s="1"/>
    </row>
    <row r="705" spans="7:7" ht="16.5" x14ac:dyDescent="0.25">
      <c r="G705" s="1"/>
    </row>
    <row r="706" spans="7:7" ht="16.5" x14ac:dyDescent="0.25">
      <c r="G706" s="1"/>
    </row>
    <row r="707" spans="7:7" ht="16.5" x14ac:dyDescent="0.25">
      <c r="G707" s="1"/>
    </row>
    <row r="708" spans="7:7" ht="16.5" x14ac:dyDescent="0.25">
      <c r="G708" s="1"/>
    </row>
    <row r="709" spans="7:7" ht="16.5" x14ac:dyDescent="0.25">
      <c r="G709" s="1"/>
    </row>
    <row r="710" spans="7:7" ht="16.5" x14ac:dyDescent="0.25">
      <c r="G710" s="1"/>
    </row>
    <row r="711" spans="7:7" ht="16.5" x14ac:dyDescent="0.25">
      <c r="G711" s="1"/>
    </row>
    <row r="712" spans="7:7" ht="16.5" x14ac:dyDescent="0.25">
      <c r="G712" s="1"/>
    </row>
    <row r="713" spans="7:7" ht="16.5" x14ac:dyDescent="0.25">
      <c r="G713" s="1"/>
    </row>
    <row r="714" spans="7:7" ht="16.5" x14ac:dyDescent="0.25">
      <c r="G714" s="1"/>
    </row>
    <row r="715" spans="7:7" ht="16.5" x14ac:dyDescent="0.25">
      <c r="G715" s="1"/>
    </row>
    <row r="716" spans="7:7" ht="16.5" x14ac:dyDescent="0.25">
      <c r="G716" s="1"/>
    </row>
    <row r="717" spans="7:7" ht="16.5" x14ac:dyDescent="0.25">
      <c r="G717" s="1"/>
    </row>
    <row r="718" spans="7:7" ht="16.5" x14ac:dyDescent="0.25">
      <c r="G718" s="1"/>
    </row>
    <row r="719" spans="7:7" ht="16.5" x14ac:dyDescent="0.25">
      <c r="G719" s="1"/>
    </row>
    <row r="720" spans="7:7" ht="16.5" x14ac:dyDescent="0.25">
      <c r="G720" s="1"/>
    </row>
    <row r="721" spans="7:7" ht="16.5" x14ac:dyDescent="0.25">
      <c r="G721" s="1"/>
    </row>
    <row r="722" spans="7:7" ht="16.5" x14ac:dyDescent="0.25">
      <c r="G722" s="1"/>
    </row>
    <row r="723" spans="7:7" ht="16.5" x14ac:dyDescent="0.25">
      <c r="G723" s="1"/>
    </row>
    <row r="724" spans="7:7" ht="16.5" x14ac:dyDescent="0.25">
      <c r="G724" s="1"/>
    </row>
    <row r="725" spans="7:7" ht="16.5" x14ac:dyDescent="0.25">
      <c r="G725" s="1"/>
    </row>
    <row r="726" spans="7:7" ht="16.5" x14ac:dyDescent="0.25">
      <c r="G726" s="1"/>
    </row>
    <row r="727" spans="7:7" ht="16.5" x14ac:dyDescent="0.25">
      <c r="G727" s="1"/>
    </row>
    <row r="728" spans="7:7" ht="16.5" x14ac:dyDescent="0.25">
      <c r="G728" s="1"/>
    </row>
    <row r="729" spans="7:7" ht="16.5" x14ac:dyDescent="0.25">
      <c r="G729" s="1"/>
    </row>
    <row r="730" spans="7:7" ht="16.5" x14ac:dyDescent="0.25">
      <c r="G730" s="1"/>
    </row>
    <row r="731" spans="7:7" ht="16.5" x14ac:dyDescent="0.25">
      <c r="G731" s="1"/>
    </row>
    <row r="732" spans="7:7" ht="16.5" x14ac:dyDescent="0.25">
      <c r="G732" s="1"/>
    </row>
    <row r="733" spans="7:7" ht="16.5" x14ac:dyDescent="0.25">
      <c r="G733" s="1"/>
    </row>
    <row r="734" spans="7:7" ht="16.5" x14ac:dyDescent="0.25">
      <c r="G734" s="1"/>
    </row>
    <row r="735" spans="7:7" ht="16.5" x14ac:dyDescent="0.25">
      <c r="G735" s="1"/>
    </row>
    <row r="736" spans="7:7" ht="16.5" x14ac:dyDescent="0.25">
      <c r="G736" s="1"/>
    </row>
    <row r="737" spans="7:7" ht="16.5" x14ac:dyDescent="0.25">
      <c r="G737" s="1"/>
    </row>
    <row r="738" spans="7:7" ht="16.5" x14ac:dyDescent="0.25">
      <c r="G738" s="1"/>
    </row>
    <row r="739" spans="7:7" ht="16.5" x14ac:dyDescent="0.25">
      <c r="G739" s="1"/>
    </row>
    <row r="740" spans="7:7" ht="16.5" x14ac:dyDescent="0.25">
      <c r="G740" s="1"/>
    </row>
    <row r="741" spans="7:7" ht="16.5" x14ac:dyDescent="0.25">
      <c r="G741" s="1"/>
    </row>
    <row r="742" spans="7:7" ht="16.5" x14ac:dyDescent="0.25">
      <c r="G742" s="1"/>
    </row>
    <row r="743" spans="7:7" ht="16.5" x14ac:dyDescent="0.25">
      <c r="G743" s="1"/>
    </row>
    <row r="744" spans="7:7" ht="16.5" x14ac:dyDescent="0.25">
      <c r="G744" s="1"/>
    </row>
    <row r="745" spans="7:7" ht="16.5" x14ac:dyDescent="0.25">
      <c r="G745" s="1"/>
    </row>
    <row r="746" spans="7:7" ht="16.5" x14ac:dyDescent="0.25">
      <c r="G746" s="1"/>
    </row>
    <row r="747" spans="7:7" ht="16.5" x14ac:dyDescent="0.25">
      <c r="G747" s="1"/>
    </row>
    <row r="748" spans="7:7" ht="16.5" x14ac:dyDescent="0.25">
      <c r="G748" s="1"/>
    </row>
    <row r="749" spans="7:7" ht="16.5" x14ac:dyDescent="0.25">
      <c r="G749" s="1"/>
    </row>
    <row r="750" spans="7:7" ht="16.5" x14ac:dyDescent="0.25">
      <c r="G750" s="1"/>
    </row>
    <row r="751" spans="7:7" ht="16.5" x14ac:dyDescent="0.25">
      <c r="G751" s="1"/>
    </row>
    <row r="752" spans="7:7" ht="16.5" x14ac:dyDescent="0.25">
      <c r="G752" s="1"/>
    </row>
    <row r="753" spans="7:7" ht="16.5" x14ac:dyDescent="0.25">
      <c r="G753" s="1"/>
    </row>
    <row r="754" spans="7:7" ht="16.5" x14ac:dyDescent="0.25">
      <c r="G754" s="1"/>
    </row>
    <row r="755" spans="7:7" ht="16.5" x14ac:dyDescent="0.25">
      <c r="G755" s="1"/>
    </row>
    <row r="756" spans="7:7" ht="16.5" x14ac:dyDescent="0.25">
      <c r="G756" s="1"/>
    </row>
    <row r="757" spans="7:7" ht="16.5" x14ac:dyDescent="0.25">
      <c r="G757" s="1"/>
    </row>
    <row r="758" spans="7:7" ht="16.5" x14ac:dyDescent="0.25">
      <c r="G758" s="1"/>
    </row>
    <row r="759" spans="7:7" ht="16.5" x14ac:dyDescent="0.25">
      <c r="G759" s="1"/>
    </row>
    <row r="760" spans="7:7" ht="16.5" x14ac:dyDescent="0.25">
      <c r="G760" s="1"/>
    </row>
    <row r="761" spans="7:7" ht="16.5" x14ac:dyDescent="0.25">
      <c r="G761" s="1"/>
    </row>
    <row r="762" spans="7:7" ht="16.5" x14ac:dyDescent="0.25">
      <c r="G762" s="1"/>
    </row>
    <row r="763" spans="7:7" ht="16.5" x14ac:dyDescent="0.25">
      <c r="G763" s="1"/>
    </row>
    <row r="764" spans="7:7" ht="16.5" x14ac:dyDescent="0.25">
      <c r="G764" s="1"/>
    </row>
    <row r="765" spans="7:7" ht="16.5" x14ac:dyDescent="0.25">
      <c r="G765" s="1"/>
    </row>
    <row r="766" spans="7:7" ht="16.5" x14ac:dyDescent="0.25">
      <c r="G766" s="1"/>
    </row>
    <row r="767" spans="7:7" ht="16.5" x14ac:dyDescent="0.25">
      <c r="G767" s="1"/>
    </row>
    <row r="768" spans="7:7" ht="16.5" x14ac:dyDescent="0.25">
      <c r="G768" s="1"/>
    </row>
    <row r="769" spans="7:7" ht="16.5" x14ac:dyDescent="0.25">
      <c r="G769" s="1"/>
    </row>
    <row r="770" spans="7:7" ht="16.5" x14ac:dyDescent="0.25">
      <c r="G770" s="1"/>
    </row>
    <row r="771" spans="7:7" ht="16.5" x14ac:dyDescent="0.25">
      <c r="G771" s="1"/>
    </row>
    <row r="772" spans="7:7" ht="16.5" x14ac:dyDescent="0.25">
      <c r="G772" s="1"/>
    </row>
    <row r="773" spans="7:7" ht="16.5" x14ac:dyDescent="0.25">
      <c r="G773" s="1"/>
    </row>
    <row r="774" spans="7:7" ht="16.5" x14ac:dyDescent="0.25">
      <c r="G774" s="1"/>
    </row>
    <row r="775" spans="7:7" ht="16.5" x14ac:dyDescent="0.25">
      <c r="G775" s="1"/>
    </row>
    <row r="776" spans="7:7" ht="16.5" x14ac:dyDescent="0.25">
      <c r="G776" s="1"/>
    </row>
    <row r="777" spans="7:7" ht="16.5" x14ac:dyDescent="0.25">
      <c r="G777" s="1"/>
    </row>
    <row r="778" spans="7:7" ht="16.5" x14ac:dyDescent="0.25">
      <c r="G778" s="1"/>
    </row>
    <row r="779" spans="7:7" ht="16.5" x14ac:dyDescent="0.25">
      <c r="G779" s="1"/>
    </row>
    <row r="780" spans="7:7" ht="16.5" x14ac:dyDescent="0.25">
      <c r="G780" s="1"/>
    </row>
    <row r="781" spans="7:7" ht="16.5" x14ac:dyDescent="0.25">
      <c r="G781" s="1"/>
    </row>
    <row r="782" spans="7:7" ht="16.5" x14ac:dyDescent="0.25">
      <c r="G782" s="1"/>
    </row>
    <row r="783" spans="7:7" ht="16.5" x14ac:dyDescent="0.25">
      <c r="G783" s="1"/>
    </row>
    <row r="784" spans="7:7" ht="16.5" x14ac:dyDescent="0.25">
      <c r="G784" s="1"/>
    </row>
    <row r="785" spans="7:7" ht="16.5" x14ac:dyDescent="0.25">
      <c r="G785" s="1"/>
    </row>
    <row r="786" spans="7:7" ht="16.5" x14ac:dyDescent="0.25">
      <c r="G786" s="1"/>
    </row>
    <row r="787" spans="7:7" ht="16.5" x14ac:dyDescent="0.25">
      <c r="G787" s="1"/>
    </row>
    <row r="788" spans="7:7" ht="16.5" x14ac:dyDescent="0.25">
      <c r="G788" s="1"/>
    </row>
    <row r="789" spans="7:7" ht="16.5" x14ac:dyDescent="0.25">
      <c r="G789" s="1"/>
    </row>
    <row r="790" spans="7:7" ht="16.5" x14ac:dyDescent="0.25">
      <c r="G790" s="1"/>
    </row>
    <row r="791" spans="7:7" ht="16.5" x14ac:dyDescent="0.25">
      <c r="G791" s="1"/>
    </row>
    <row r="792" spans="7:7" ht="16.5" x14ac:dyDescent="0.25">
      <c r="G792" s="1"/>
    </row>
    <row r="793" spans="7:7" ht="16.5" x14ac:dyDescent="0.25">
      <c r="G793" s="1"/>
    </row>
    <row r="794" spans="7:7" ht="16.5" x14ac:dyDescent="0.25">
      <c r="G794" s="1"/>
    </row>
    <row r="795" spans="7:7" ht="16.5" x14ac:dyDescent="0.25">
      <c r="G795" s="1"/>
    </row>
    <row r="796" spans="7:7" ht="16.5" x14ac:dyDescent="0.25">
      <c r="G796" s="1"/>
    </row>
    <row r="797" spans="7:7" ht="16.5" x14ac:dyDescent="0.25">
      <c r="G797" s="1"/>
    </row>
    <row r="798" spans="7:7" ht="16.5" x14ac:dyDescent="0.25">
      <c r="G798" s="1"/>
    </row>
    <row r="799" spans="7:7" ht="16.5" x14ac:dyDescent="0.25">
      <c r="G799" s="1"/>
    </row>
    <row r="800" spans="7:7" ht="16.5" x14ac:dyDescent="0.25">
      <c r="G800" s="1"/>
    </row>
    <row r="801" spans="7:7" ht="16.5" x14ac:dyDescent="0.25">
      <c r="G801" s="1"/>
    </row>
    <row r="802" spans="7:7" ht="16.5" x14ac:dyDescent="0.25">
      <c r="G802" s="1"/>
    </row>
    <row r="803" spans="7:7" ht="16.5" x14ac:dyDescent="0.25">
      <c r="G803" s="1"/>
    </row>
    <row r="804" spans="7:7" ht="16.5" x14ac:dyDescent="0.25">
      <c r="G804" s="1"/>
    </row>
    <row r="805" spans="7:7" ht="16.5" x14ac:dyDescent="0.25">
      <c r="G805" s="1"/>
    </row>
    <row r="806" spans="7:7" ht="16.5" x14ac:dyDescent="0.25">
      <c r="G806" s="1"/>
    </row>
    <row r="807" spans="7:7" ht="16.5" x14ac:dyDescent="0.25">
      <c r="G807" s="1"/>
    </row>
    <row r="808" spans="7:7" ht="16.5" x14ac:dyDescent="0.25">
      <c r="G808" s="1"/>
    </row>
    <row r="809" spans="7:7" ht="16.5" x14ac:dyDescent="0.25">
      <c r="G809" s="1"/>
    </row>
    <row r="810" spans="7:7" ht="16.5" x14ac:dyDescent="0.25">
      <c r="G810" s="1"/>
    </row>
    <row r="811" spans="7:7" ht="16.5" x14ac:dyDescent="0.25">
      <c r="G811" s="1"/>
    </row>
    <row r="812" spans="7:7" ht="16.5" x14ac:dyDescent="0.25">
      <c r="G812" s="1"/>
    </row>
    <row r="813" spans="7:7" ht="16.5" x14ac:dyDescent="0.25">
      <c r="G813" s="1"/>
    </row>
    <row r="814" spans="7:7" ht="16.5" x14ac:dyDescent="0.25">
      <c r="G814" s="1"/>
    </row>
    <row r="815" spans="7:7" ht="16.5" x14ac:dyDescent="0.25">
      <c r="G815" s="1"/>
    </row>
    <row r="816" spans="7:7" ht="16.5" x14ac:dyDescent="0.25">
      <c r="G816" s="1"/>
    </row>
    <row r="817" spans="7:7" ht="16.5" x14ac:dyDescent="0.25">
      <c r="G817" s="1"/>
    </row>
    <row r="818" spans="7:7" ht="16.5" x14ac:dyDescent="0.25">
      <c r="G818" s="1"/>
    </row>
    <row r="819" spans="7:7" ht="16.5" x14ac:dyDescent="0.25">
      <c r="G819" s="1"/>
    </row>
    <row r="820" spans="7:7" ht="16.5" x14ac:dyDescent="0.25">
      <c r="G820" s="1"/>
    </row>
    <row r="821" spans="7:7" ht="16.5" x14ac:dyDescent="0.25">
      <c r="G821" s="1"/>
    </row>
    <row r="822" spans="7:7" ht="16.5" x14ac:dyDescent="0.25">
      <c r="G822" s="1"/>
    </row>
    <row r="823" spans="7:7" ht="16.5" x14ac:dyDescent="0.25">
      <c r="G823" s="1"/>
    </row>
    <row r="824" spans="7:7" ht="16.5" x14ac:dyDescent="0.25">
      <c r="G824" s="1"/>
    </row>
    <row r="825" spans="7:7" ht="16.5" x14ac:dyDescent="0.25">
      <c r="G825" s="1"/>
    </row>
    <row r="826" spans="7:7" ht="16.5" x14ac:dyDescent="0.25">
      <c r="G826" s="1"/>
    </row>
    <row r="827" spans="7:7" ht="16.5" x14ac:dyDescent="0.25">
      <c r="G827" s="1"/>
    </row>
    <row r="828" spans="7:7" ht="16.5" x14ac:dyDescent="0.25">
      <c r="G828" s="1"/>
    </row>
    <row r="829" spans="7:7" ht="16.5" x14ac:dyDescent="0.25">
      <c r="G829" s="1"/>
    </row>
    <row r="830" spans="7:7" ht="16.5" x14ac:dyDescent="0.25">
      <c r="G830" s="1"/>
    </row>
    <row r="831" spans="7:7" ht="16.5" x14ac:dyDescent="0.25">
      <c r="G831" s="1"/>
    </row>
    <row r="832" spans="7:7" ht="16.5" x14ac:dyDescent="0.25">
      <c r="G832" s="1"/>
    </row>
    <row r="833" spans="7:7" ht="16.5" x14ac:dyDescent="0.25">
      <c r="G833" s="1"/>
    </row>
    <row r="834" spans="7:7" ht="16.5" x14ac:dyDescent="0.25">
      <c r="G834" s="1"/>
    </row>
    <row r="835" spans="7:7" ht="16.5" x14ac:dyDescent="0.25">
      <c r="G835" s="1"/>
    </row>
    <row r="836" spans="7:7" ht="16.5" x14ac:dyDescent="0.25">
      <c r="G836" s="1"/>
    </row>
    <row r="837" spans="7:7" ht="16.5" x14ac:dyDescent="0.25">
      <c r="G837" s="1"/>
    </row>
    <row r="838" spans="7:7" ht="16.5" x14ac:dyDescent="0.25">
      <c r="G838" s="1"/>
    </row>
    <row r="839" spans="7:7" ht="16.5" x14ac:dyDescent="0.25">
      <c r="G839" s="1"/>
    </row>
    <row r="840" spans="7:7" ht="16.5" x14ac:dyDescent="0.25">
      <c r="G840" s="1"/>
    </row>
    <row r="841" spans="7:7" ht="16.5" x14ac:dyDescent="0.25">
      <c r="G841" s="1"/>
    </row>
    <row r="842" spans="7:7" ht="16.5" x14ac:dyDescent="0.25">
      <c r="G842" s="1"/>
    </row>
    <row r="843" spans="7:7" ht="16.5" x14ac:dyDescent="0.25">
      <c r="G843" s="1"/>
    </row>
    <row r="844" spans="7:7" ht="16.5" x14ac:dyDescent="0.25">
      <c r="G844" s="1"/>
    </row>
    <row r="845" spans="7:7" ht="16.5" x14ac:dyDescent="0.25">
      <c r="G845" s="1"/>
    </row>
    <row r="846" spans="7:7" ht="16.5" x14ac:dyDescent="0.25">
      <c r="G846" s="1"/>
    </row>
    <row r="847" spans="7:7" ht="16.5" x14ac:dyDescent="0.25">
      <c r="G847" s="1"/>
    </row>
    <row r="848" spans="7:7" ht="16.5" x14ac:dyDescent="0.25">
      <c r="G848" s="1"/>
    </row>
    <row r="849" spans="7:7" ht="16.5" x14ac:dyDescent="0.25">
      <c r="G849" s="1"/>
    </row>
    <row r="850" spans="7:7" ht="16.5" x14ac:dyDescent="0.25">
      <c r="G850" s="1"/>
    </row>
    <row r="851" spans="7:7" ht="16.5" x14ac:dyDescent="0.25">
      <c r="G851" s="1"/>
    </row>
    <row r="852" spans="7:7" ht="16.5" x14ac:dyDescent="0.25">
      <c r="G852" s="1"/>
    </row>
    <row r="853" spans="7:7" ht="16.5" x14ac:dyDescent="0.25">
      <c r="G853" s="1"/>
    </row>
    <row r="854" spans="7:7" ht="16.5" x14ac:dyDescent="0.25">
      <c r="G854" s="1"/>
    </row>
    <row r="855" spans="7:7" ht="16.5" x14ac:dyDescent="0.25">
      <c r="G855" s="1"/>
    </row>
    <row r="856" spans="7:7" ht="16.5" x14ac:dyDescent="0.25">
      <c r="G856" s="1"/>
    </row>
    <row r="857" spans="7:7" ht="16.5" x14ac:dyDescent="0.25">
      <c r="G857" s="1"/>
    </row>
    <row r="858" spans="7:7" ht="16.5" x14ac:dyDescent="0.25">
      <c r="G858" s="1"/>
    </row>
    <row r="859" spans="7:7" ht="16.5" x14ac:dyDescent="0.25">
      <c r="G859" s="1"/>
    </row>
    <row r="860" spans="7:7" ht="16.5" x14ac:dyDescent="0.25">
      <c r="G860" s="1"/>
    </row>
    <row r="861" spans="7:7" ht="16.5" x14ac:dyDescent="0.25">
      <c r="G861" s="1"/>
    </row>
    <row r="862" spans="7:7" ht="16.5" x14ac:dyDescent="0.25">
      <c r="G862" s="1"/>
    </row>
    <row r="863" spans="7:7" ht="16.5" x14ac:dyDescent="0.25">
      <c r="G863" s="1"/>
    </row>
    <row r="864" spans="7:7" ht="16.5" x14ac:dyDescent="0.25">
      <c r="G864" s="1"/>
    </row>
    <row r="865" spans="7:7" ht="16.5" x14ac:dyDescent="0.25">
      <c r="G865" s="1"/>
    </row>
    <row r="866" spans="7:7" ht="16.5" x14ac:dyDescent="0.25">
      <c r="G866" s="1"/>
    </row>
    <row r="867" spans="7:7" ht="16.5" x14ac:dyDescent="0.25">
      <c r="G867" s="1"/>
    </row>
    <row r="868" spans="7:7" ht="16.5" x14ac:dyDescent="0.25">
      <c r="G868" s="1"/>
    </row>
    <row r="869" spans="7:7" ht="16.5" x14ac:dyDescent="0.25">
      <c r="G869" s="1"/>
    </row>
    <row r="870" spans="7:7" ht="16.5" x14ac:dyDescent="0.25">
      <c r="G870" s="1"/>
    </row>
    <row r="871" spans="7:7" ht="16.5" x14ac:dyDescent="0.25">
      <c r="G871" s="1"/>
    </row>
    <row r="872" spans="7:7" ht="16.5" x14ac:dyDescent="0.25">
      <c r="G872" s="1"/>
    </row>
    <row r="873" spans="7:7" ht="16.5" x14ac:dyDescent="0.25">
      <c r="G873" s="1"/>
    </row>
    <row r="874" spans="7:7" ht="16.5" x14ac:dyDescent="0.25">
      <c r="G874" s="1"/>
    </row>
    <row r="875" spans="7:7" ht="16.5" x14ac:dyDescent="0.25">
      <c r="G875" s="1"/>
    </row>
    <row r="876" spans="7:7" ht="16.5" x14ac:dyDescent="0.25">
      <c r="G876" s="1"/>
    </row>
    <row r="877" spans="7:7" ht="16.5" x14ac:dyDescent="0.25">
      <c r="G877" s="1"/>
    </row>
    <row r="878" spans="7:7" ht="16.5" x14ac:dyDescent="0.25">
      <c r="G878" s="1"/>
    </row>
    <row r="879" spans="7:7" ht="16.5" x14ac:dyDescent="0.25">
      <c r="G879" s="1"/>
    </row>
    <row r="880" spans="7:7" ht="16.5" x14ac:dyDescent="0.25">
      <c r="G880" s="1"/>
    </row>
    <row r="881" spans="7:7" ht="16.5" x14ac:dyDescent="0.25">
      <c r="G881" s="1"/>
    </row>
    <row r="882" spans="7:7" ht="16.5" x14ac:dyDescent="0.25">
      <c r="G882" s="1"/>
    </row>
    <row r="883" spans="7:7" ht="16.5" x14ac:dyDescent="0.25">
      <c r="G883" s="1"/>
    </row>
    <row r="884" spans="7:7" ht="16.5" x14ac:dyDescent="0.25">
      <c r="G884" s="1"/>
    </row>
    <row r="885" spans="7:7" ht="16.5" x14ac:dyDescent="0.25">
      <c r="G885" s="1"/>
    </row>
    <row r="886" spans="7:7" ht="16.5" x14ac:dyDescent="0.25">
      <c r="G886" s="1"/>
    </row>
    <row r="887" spans="7:7" ht="16.5" x14ac:dyDescent="0.25">
      <c r="G887" s="1"/>
    </row>
    <row r="888" spans="7:7" ht="16.5" x14ac:dyDescent="0.25">
      <c r="G888" s="1"/>
    </row>
    <row r="889" spans="7:7" ht="16.5" x14ac:dyDescent="0.25">
      <c r="G889" s="1"/>
    </row>
    <row r="890" spans="7:7" ht="16.5" x14ac:dyDescent="0.25">
      <c r="G890" s="1"/>
    </row>
    <row r="891" spans="7:7" ht="16.5" x14ac:dyDescent="0.25">
      <c r="G891" s="1"/>
    </row>
    <row r="892" spans="7:7" ht="16.5" x14ac:dyDescent="0.25">
      <c r="G892" s="1"/>
    </row>
    <row r="893" spans="7:7" ht="16.5" x14ac:dyDescent="0.25">
      <c r="G893" s="1"/>
    </row>
    <row r="894" spans="7:7" ht="16.5" x14ac:dyDescent="0.25">
      <c r="G894" s="1"/>
    </row>
    <row r="895" spans="7:7" ht="16.5" x14ac:dyDescent="0.25">
      <c r="G895" s="1"/>
    </row>
    <row r="896" spans="7:7" ht="16.5" x14ac:dyDescent="0.25">
      <c r="G896" s="1"/>
    </row>
    <row r="897" spans="7:7" ht="16.5" x14ac:dyDescent="0.25">
      <c r="G897" s="1"/>
    </row>
    <row r="898" spans="7:7" ht="16.5" x14ac:dyDescent="0.25">
      <c r="G898" s="1"/>
    </row>
    <row r="899" spans="7:7" ht="16.5" x14ac:dyDescent="0.25">
      <c r="G899" s="1"/>
    </row>
    <row r="900" spans="7:7" ht="16.5" x14ac:dyDescent="0.25">
      <c r="G900" s="1"/>
    </row>
    <row r="901" spans="7:7" ht="16.5" x14ac:dyDescent="0.25">
      <c r="G901" s="1"/>
    </row>
    <row r="902" spans="7:7" ht="16.5" x14ac:dyDescent="0.25">
      <c r="G902" s="1"/>
    </row>
    <row r="903" spans="7:7" ht="16.5" x14ac:dyDescent="0.25">
      <c r="G903" s="1"/>
    </row>
    <row r="904" spans="7:7" ht="16.5" x14ac:dyDescent="0.25">
      <c r="G904" s="1"/>
    </row>
    <row r="905" spans="7:7" ht="16.5" x14ac:dyDescent="0.25">
      <c r="G905" s="1"/>
    </row>
    <row r="906" spans="7:7" ht="16.5" x14ac:dyDescent="0.25">
      <c r="G906" s="1"/>
    </row>
    <row r="907" spans="7:7" ht="16.5" x14ac:dyDescent="0.25">
      <c r="G907" s="1"/>
    </row>
    <row r="908" spans="7:7" ht="16.5" x14ac:dyDescent="0.25">
      <c r="G908" s="1"/>
    </row>
    <row r="909" spans="7:7" ht="16.5" x14ac:dyDescent="0.25">
      <c r="G909" s="1"/>
    </row>
    <row r="910" spans="7:7" ht="16.5" x14ac:dyDescent="0.25">
      <c r="G910" s="1"/>
    </row>
    <row r="911" spans="7:7" ht="16.5" x14ac:dyDescent="0.25">
      <c r="G911" s="1"/>
    </row>
    <row r="912" spans="7:7" ht="16.5" x14ac:dyDescent="0.25">
      <c r="G912" s="1"/>
    </row>
    <row r="913" spans="7:7" ht="16.5" x14ac:dyDescent="0.25">
      <c r="G913" s="1"/>
    </row>
    <row r="914" spans="7:7" ht="16.5" x14ac:dyDescent="0.25">
      <c r="G914" s="1"/>
    </row>
    <row r="915" spans="7:7" ht="16.5" x14ac:dyDescent="0.25">
      <c r="G915" s="1"/>
    </row>
    <row r="916" spans="7:7" ht="16.5" x14ac:dyDescent="0.25">
      <c r="G916" s="1"/>
    </row>
    <row r="917" spans="7:7" ht="16.5" x14ac:dyDescent="0.25">
      <c r="G917" s="1"/>
    </row>
    <row r="918" spans="7:7" ht="16.5" x14ac:dyDescent="0.25">
      <c r="G918" s="1"/>
    </row>
    <row r="919" spans="7:7" ht="16.5" x14ac:dyDescent="0.25">
      <c r="G919" s="1"/>
    </row>
    <row r="920" spans="7:7" ht="16.5" x14ac:dyDescent="0.25">
      <c r="G920" s="1"/>
    </row>
    <row r="921" spans="7:7" ht="16.5" x14ac:dyDescent="0.25">
      <c r="G921" s="1"/>
    </row>
    <row r="922" spans="7:7" ht="16.5" x14ac:dyDescent="0.25">
      <c r="G922" s="1"/>
    </row>
    <row r="923" spans="7:7" ht="16.5" x14ac:dyDescent="0.25">
      <c r="G923" s="1"/>
    </row>
    <row r="924" spans="7:7" ht="16.5" x14ac:dyDescent="0.25">
      <c r="G924" s="1"/>
    </row>
    <row r="925" spans="7:7" ht="16.5" x14ac:dyDescent="0.25">
      <c r="G925" s="1"/>
    </row>
    <row r="926" spans="7:7" ht="16.5" x14ac:dyDescent="0.25">
      <c r="G926" s="1"/>
    </row>
    <row r="927" spans="7:7" ht="16.5" x14ac:dyDescent="0.25">
      <c r="G927" s="1"/>
    </row>
    <row r="928" spans="7:7" ht="16.5" x14ac:dyDescent="0.25">
      <c r="G928" s="1"/>
    </row>
    <row r="929" spans="7:7" ht="16.5" x14ac:dyDescent="0.25">
      <c r="G929" s="1"/>
    </row>
    <row r="930" spans="7:7" ht="16.5" x14ac:dyDescent="0.25">
      <c r="G930" s="1"/>
    </row>
    <row r="931" spans="7:7" ht="16.5" x14ac:dyDescent="0.25">
      <c r="G931" s="1"/>
    </row>
    <row r="932" spans="7:7" ht="16.5" x14ac:dyDescent="0.25">
      <c r="G932" s="1"/>
    </row>
    <row r="933" spans="7:7" ht="16.5" x14ac:dyDescent="0.25">
      <c r="G933" s="1"/>
    </row>
    <row r="934" spans="7:7" ht="16.5" x14ac:dyDescent="0.25">
      <c r="G934" s="1"/>
    </row>
    <row r="935" spans="7:7" ht="16.5" x14ac:dyDescent="0.25">
      <c r="G935" s="1"/>
    </row>
    <row r="936" spans="7:7" ht="16.5" x14ac:dyDescent="0.25">
      <c r="G936" s="1"/>
    </row>
    <row r="937" spans="7:7" ht="16.5" x14ac:dyDescent="0.25">
      <c r="G937" s="1"/>
    </row>
    <row r="938" spans="7:7" ht="16.5" x14ac:dyDescent="0.25">
      <c r="G938" s="1"/>
    </row>
    <row r="939" spans="7:7" ht="16.5" x14ac:dyDescent="0.25">
      <c r="G939" s="1"/>
    </row>
    <row r="940" spans="7:7" ht="16.5" x14ac:dyDescent="0.25">
      <c r="G940" s="1"/>
    </row>
    <row r="941" spans="7:7" ht="16.5" x14ac:dyDescent="0.25">
      <c r="G941" s="1"/>
    </row>
    <row r="942" spans="7:7" ht="16.5" x14ac:dyDescent="0.25">
      <c r="G942" s="1"/>
    </row>
    <row r="943" spans="7:7" ht="16.5" x14ac:dyDescent="0.25">
      <c r="G943" s="1"/>
    </row>
    <row r="944" spans="7:7" ht="16.5" x14ac:dyDescent="0.25">
      <c r="G944" s="1"/>
    </row>
    <row r="945" spans="7:7" ht="16.5" x14ac:dyDescent="0.25">
      <c r="G945" s="1"/>
    </row>
    <row r="946" spans="7:7" ht="16.5" x14ac:dyDescent="0.25">
      <c r="G946" s="1"/>
    </row>
    <row r="947" spans="7:7" ht="16.5" x14ac:dyDescent="0.25">
      <c r="G947" s="1"/>
    </row>
    <row r="948" spans="7:7" ht="16.5" x14ac:dyDescent="0.25">
      <c r="G948" s="1"/>
    </row>
    <row r="949" spans="7:7" ht="16.5" x14ac:dyDescent="0.25">
      <c r="G949" s="1"/>
    </row>
    <row r="950" spans="7:7" ht="16.5" x14ac:dyDescent="0.25">
      <c r="G950" s="1"/>
    </row>
    <row r="951" spans="7:7" ht="16.5" x14ac:dyDescent="0.25">
      <c r="G951" s="1"/>
    </row>
    <row r="952" spans="7:7" ht="16.5" x14ac:dyDescent="0.25">
      <c r="G952" s="1"/>
    </row>
    <row r="953" spans="7:7" ht="16.5" x14ac:dyDescent="0.25">
      <c r="G953" s="1"/>
    </row>
    <row r="954" spans="7:7" ht="16.5" x14ac:dyDescent="0.25">
      <c r="G954" s="1"/>
    </row>
    <row r="955" spans="7:7" ht="16.5" x14ac:dyDescent="0.25">
      <c r="G955" s="1"/>
    </row>
    <row r="956" spans="7:7" ht="16.5" x14ac:dyDescent="0.25">
      <c r="G956" s="1"/>
    </row>
    <row r="957" spans="7:7" ht="16.5" x14ac:dyDescent="0.25">
      <c r="G957" s="1"/>
    </row>
    <row r="958" spans="7:7" ht="16.5" x14ac:dyDescent="0.25">
      <c r="G958" s="1"/>
    </row>
    <row r="959" spans="7:7" ht="16.5" x14ac:dyDescent="0.25">
      <c r="G959" s="1"/>
    </row>
    <row r="960" spans="7:7" ht="16.5" x14ac:dyDescent="0.25">
      <c r="G960" s="1"/>
    </row>
    <row r="961" spans="7:7" ht="16.5" x14ac:dyDescent="0.25">
      <c r="G961" s="1"/>
    </row>
    <row r="962" spans="7:7" ht="16.5" x14ac:dyDescent="0.25">
      <c r="G962" s="1"/>
    </row>
    <row r="963" spans="7:7" ht="16.5" x14ac:dyDescent="0.25">
      <c r="G963" s="1"/>
    </row>
    <row r="964" spans="7:7" ht="16.5" x14ac:dyDescent="0.25">
      <c r="G964" s="1"/>
    </row>
    <row r="965" spans="7:7" ht="16.5" x14ac:dyDescent="0.25">
      <c r="G965" s="1"/>
    </row>
    <row r="966" spans="7:7" ht="16.5" x14ac:dyDescent="0.25">
      <c r="G966" s="1"/>
    </row>
    <row r="967" spans="7:7" ht="16.5" x14ac:dyDescent="0.25">
      <c r="G967" s="1"/>
    </row>
    <row r="968" spans="7:7" ht="16.5" x14ac:dyDescent="0.25">
      <c r="G968" s="1"/>
    </row>
    <row r="969" spans="7:7" ht="16.5" x14ac:dyDescent="0.25">
      <c r="G969" s="1"/>
    </row>
    <row r="970" spans="7:7" ht="16.5" x14ac:dyDescent="0.25">
      <c r="G970" s="1"/>
    </row>
    <row r="971" spans="7:7" ht="16.5" x14ac:dyDescent="0.25">
      <c r="G971" s="1"/>
    </row>
    <row r="972" spans="7:7" ht="16.5" x14ac:dyDescent="0.25">
      <c r="G972" s="1"/>
    </row>
    <row r="973" spans="7:7" ht="16.5" x14ac:dyDescent="0.25">
      <c r="G973" s="1"/>
    </row>
    <row r="974" spans="7:7" ht="16.5" x14ac:dyDescent="0.25">
      <c r="G974" s="1"/>
    </row>
    <row r="975" spans="7:7" ht="16.5" x14ac:dyDescent="0.25">
      <c r="G975" s="1"/>
    </row>
    <row r="976" spans="7:7" ht="16.5" x14ac:dyDescent="0.25">
      <c r="G976" s="1"/>
    </row>
    <row r="977" spans="7:7" ht="16.5" x14ac:dyDescent="0.25">
      <c r="G977" s="1"/>
    </row>
    <row r="978" spans="7:7" ht="16.5" x14ac:dyDescent="0.25">
      <c r="G978" s="1"/>
    </row>
    <row r="979" spans="7:7" ht="16.5" x14ac:dyDescent="0.25">
      <c r="G979" s="1"/>
    </row>
    <row r="980" spans="7:7" ht="16.5" x14ac:dyDescent="0.25">
      <c r="G980" s="1"/>
    </row>
    <row r="981" spans="7:7" ht="16.5" x14ac:dyDescent="0.25">
      <c r="G981" s="1"/>
    </row>
    <row r="982" spans="7:7" ht="16.5" x14ac:dyDescent="0.25">
      <c r="G982" s="1"/>
    </row>
    <row r="983" spans="7:7" ht="16.5" x14ac:dyDescent="0.25">
      <c r="G983" s="1"/>
    </row>
    <row r="984" spans="7:7" ht="16.5" x14ac:dyDescent="0.25">
      <c r="G984" s="1"/>
    </row>
    <row r="985" spans="7:7" ht="16.5" x14ac:dyDescent="0.25">
      <c r="G985" s="1"/>
    </row>
    <row r="986" spans="7:7" ht="16.5" x14ac:dyDescent="0.25">
      <c r="G986" s="1"/>
    </row>
    <row r="987" spans="7:7" ht="16.5" x14ac:dyDescent="0.25">
      <c r="G987" s="1"/>
    </row>
    <row r="988" spans="7:7" ht="16.5" x14ac:dyDescent="0.25">
      <c r="G988" s="1"/>
    </row>
    <row r="989" spans="7:7" ht="16.5" x14ac:dyDescent="0.25">
      <c r="G989" s="1"/>
    </row>
    <row r="990" spans="7:7" ht="16.5" x14ac:dyDescent="0.25">
      <c r="G990" s="1"/>
    </row>
    <row r="991" spans="7:7" ht="16.5" x14ac:dyDescent="0.25">
      <c r="G991" s="1"/>
    </row>
    <row r="992" spans="7:7" ht="16.5" x14ac:dyDescent="0.25">
      <c r="G992" s="1"/>
    </row>
    <row r="993" spans="7:7" ht="16.5" x14ac:dyDescent="0.25">
      <c r="G993" s="1"/>
    </row>
    <row r="994" spans="7:7" ht="16.5" x14ac:dyDescent="0.25">
      <c r="G994" s="1"/>
    </row>
    <row r="995" spans="7:7" ht="16.5" x14ac:dyDescent="0.25">
      <c r="G995" s="1"/>
    </row>
    <row r="996" spans="7:7" ht="16.5" x14ac:dyDescent="0.25">
      <c r="G996" s="1"/>
    </row>
    <row r="997" spans="7:7" ht="16.5" x14ac:dyDescent="0.25">
      <c r="G997" s="1"/>
    </row>
    <row r="998" spans="7:7" ht="16.5" x14ac:dyDescent="0.25">
      <c r="G998" s="1"/>
    </row>
    <row r="999" spans="7:7" ht="16.5" x14ac:dyDescent="0.25">
      <c r="G999" s="1"/>
    </row>
    <row r="1000" spans="7:7" ht="16.5" x14ac:dyDescent="0.25">
      <c r="G1000" s="1"/>
    </row>
    <row r="1001" spans="7:7" ht="16.5" x14ac:dyDescent="0.25">
      <c r="G1001" s="1"/>
    </row>
  </sheetData>
  <mergeCells count="4">
    <mergeCell ref="C1:D1"/>
    <mergeCell ref="A1:A2"/>
    <mergeCell ref="B1:B2"/>
    <mergeCell ref="G1: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A58E-8C35-41A6-8F96-5CBC98230808}">
  <dimension ref="A1:AO47"/>
  <sheetViews>
    <sheetView topLeftCell="AE25" zoomScale="85" zoomScaleNormal="85" workbookViewId="0">
      <selection activeCell="AI38" sqref="AI38"/>
    </sheetView>
  </sheetViews>
  <sheetFormatPr defaultRowHeight="15" x14ac:dyDescent="0.25"/>
  <cols>
    <col min="2" max="2" width="33.5703125" customWidth="1"/>
    <col min="3" max="3" width="66.140625" customWidth="1"/>
    <col min="4" max="5" width="16" customWidth="1"/>
    <col min="6" max="7" width="14.7109375" customWidth="1"/>
    <col min="8" max="8" width="19" customWidth="1"/>
    <col min="9" max="9" width="14.7109375" customWidth="1"/>
    <col min="10" max="11" width="16.5703125" customWidth="1"/>
    <col min="12" max="12" width="20.28515625" customWidth="1"/>
    <col min="13" max="13" width="16.5703125" customWidth="1"/>
    <col min="14" max="15" width="15.5703125" customWidth="1"/>
    <col min="16" max="16" width="22.5703125" customWidth="1"/>
    <col min="17" max="17" width="15.5703125" customWidth="1"/>
    <col min="18" max="19" width="16.42578125" customWidth="1"/>
    <col min="20" max="20" width="21.140625" customWidth="1"/>
    <col min="21" max="21" width="16.42578125" customWidth="1"/>
    <col min="22" max="23" width="14" customWidth="1"/>
    <col min="24" max="24" width="25" customWidth="1"/>
    <col min="25" max="25" width="14" customWidth="1"/>
    <col min="26" max="27" width="17.42578125" customWidth="1"/>
    <col min="28" max="28" width="22.7109375" customWidth="1"/>
    <col min="29" max="29" width="15.5703125" hidden="1" customWidth="1"/>
    <col min="30" max="31" width="16.85546875" bestFit="1" customWidth="1"/>
    <col min="32" max="32" width="15.28515625" customWidth="1"/>
    <col min="33" max="33" width="13.42578125" customWidth="1"/>
    <col min="34" max="34" width="17.85546875" customWidth="1"/>
    <col min="35" max="35" width="19.28515625" customWidth="1"/>
    <col min="36" max="36" width="51.28515625" bestFit="1" customWidth="1"/>
    <col min="38" max="38" width="15.28515625" customWidth="1"/>
    <col min="40" max="40" width="47.28515625" customWidth="1"/>
  </cols>
  <sheetData>
    <row r="1" spans="1:41" ht="57" customHeight="1" x14ac:dyDescent="0.25">
      <c r="A1" s="50" t="s">
        <v>0</v>
      </c>
      <c r="B1" s="50" t="s">
        <v>58</v>
      </c>
      <c r="C1" s="48" t="s">
        <v>59</v>
      </c>
      <c r="D1" s="54" t="s">
        <v>60</v>
      </c>
      <c r="E1" s="54"/>
      <c r="F1" s="93" t="s">
        <v>61</v>
      </c>
      <c r="G1" s="93"/>
      <c r="H1" s="93"/>
      <c r="I1" s="93"/>
      <c r="J1" s="103"/>
      <c r="K1" s="103"/>
      <c r="L1" s="103"/>
      <c r="M1" s="103"/>
      <c r="N1" s="103"/>
      <c r="O1" s="103"/>
      <c r="P1" s="103"/>
      <c r="Q1" s="103"/>
      <c r="R1" s="103"/>
      <c r="S1" s="103"/>
      <c r="T1" s="103"/>
      <c r="U1" s="103"/>
      <c r="V1" s="103"/>
      <c r="W1" s="103"/>
      <c r="X1" s="103"/>
      <c r="Y1" s="103"/>
      <c r="Z1" s="103"/>
      <c r="AA1" s="45"/>
      <c r="AB1" s="45"/>
      <c r="AC1" s="45" t="s">
        <v>61</v>
      </c>
      <c r="AD1" s="100" t="s">
        <v>62</v>
      </c>
      <c r="AE1" s="98" t="s">
        <v>63</v>
      </c>
      <c r="AF1" s="97" t="s">
        <v>64</v>
      </c>
      <c r="AG1" s="102" t="s">
        <v>65</v>
      </c>
      <c r="AH1" s="97" t="s">
        <v>66</v>
      </c>
      <c r="AI1" s="87" t="s">
        <v>67</v>
      </c>
      <c r="AJ1" s="89" t="s">
        <v>68</v>
      </c>
      <c r="AL1" s="27" t="s">
        <v>69</v>
      </c>
      <c r="AM1" s="38">
        <v>127</v>
      </c>
      <c r="AN1" s="32" t="s">
        <v>70</v>
      </c>
      <c r="AO1" s="38">
        <f>AM1*120</f>
        <v>15240</v>
      </c>
    </row>
    <row r="2" spans="1:41" ht="57" customHeight="1" x14ac:dyDescent="0.25">
      <c r="A2" s="51" t="s">
        <v>0</v>
      </c>
      <c r="B2" s="51" t="s">
        <v>58</v>
      </c>
      <c r="C2" s="49" t="s">
        <v>59</v>
      </c>
      <c r="D2" s="54"/>
      <c r="E2" s="91" t="s">
        <v>71</v>
      </c>
      <c r="F2" s="92"/>
      <c r="G2" s="93"/>
      <c r="H2" s="68" t="s">
        <v>6</v>
      </c>
      <c r="I2" s="91" t="s">
        <v>72</v>
      </c>
      <c r="J2" s="92"/>
      <c r="K2" s="93"/>
      <c r="L2" s="68" t="s">
        <v>6</v>
      </c>
      <c r="M2" s="91" t="s">
        <v>73</v>
      </c>
      <c r="N2" s="92"/>
      <c r="O2" s="93"/>
      <c r="P2" s="68" t="s">
        <v>6</v>
      </c>
      <c r="Q2" s="91" t="s">
        <v>74</v>
      </c>
      <c r="R2" s="92"/>
      <c r="S2" s="93"/>
      <c r="T2" s="68" t="s">
        <v>6</v>
      </c>
      <c r="U2" s="91" t="s">
        <v>75</v>
      </c>
      <c r="V2" s="92"/>
      <c r="W2" s="93"/>
      <c r="X2" s="68" t="s">
        <v>6</v>
      </c>
      <c r="Y2" s="94" t="s">
        <v>76</v>
      </c>
      <c r="Z2" s="95"/>
      <c r="AA2" s="96"/>
      <c r="AB2" s="68" t="s">
        <v>6</v>
      </c>
      <c r="AC2" s="45"/>
      <c r="AD2" s="101"/>
      <c r="AE2" s="99"/>
      <c r="AF2" s="97"/>
      <c r="AG2" s="102"/>
      <c r="AH2" s="97"/>
      <c r="AI2" s="88"/>
      <c r="AJ2" s="90"/>
      <c r="AL2" s="27"/>
      <c r="AM2" s="44"/>
      <c r="AN2" s="32"/>
      <c r="AO2" s="44"/>
    </row>
    <row r="3" spans="1:41" ht="75" x14ac:dyDescent="0.25">
      <c r="A3" s="85">
        <v>1</v>
      </c>
      <c r="B3" s="86" t="s">
        <v>77</v>
      </c>
      <c r="C3" s="12" t="s">
        <v>78</v>
      </c>
      <c r="D3" s="46" t="s">
        <v>79</v>
      </c>
      <c r="E3" s="104">
        <v>0.25</v>
      </c>
      <c r="F3" s="46">
        <v>0.1</v>
      </c>
      <c r="G3" s="46">
        <f>F3*$E$3</f>
        <v>2.5000000000000001E-2</v>
      </c>
      <c r="H3" s="56"/>
      <c r="I3" s="104">
        <v>0.2</v>
      </c>
      <c r="J3" s="46" t="s">
        <v>80</v>
      </c>
      <c r="K3" s="46" t="e">
        <f>J3*I3</f>
        <v>#VALUE!</v>
      </c>
      <c r="L3" s="56"/>
      <c r="M3" s="104">
        <v>0.2</v>
      </c>
      <c r="N3" s="46" t="s">
        <v>80</v>
      </c>
      <c r="O3" s="46" t="e">
        <f>N3*M3</f>
        <v>#VALUE!</v>
      </c>
      <c r="P3" s="56"/>
      <c r="Q3" s="104">
        <v>0.2</v>
      </c>
      <c r="R3" s="46" t="s">
        <v>80</v>
      </c>
      <c r="S3" s="46" t="e">
        <f>R3*Q3</f>
        <v>#VALUE!</v>
      </c>
      <c r="T3" s="56"/>
      <c r="U3" s="104">
        <v>0.3</v>
      </c>
      <c r="V3" s="46" t="s">
        <v>80</v>
      </c>
      <c r="W3" s="46" t="e">
        <f>V3*U3</f>
        <v>#VALUE!</v>
      </c>
      <c r="X3" s="56"/>
      <c r="Y3" s="104">
        <v>0.3</v>
      </c>
      <c r="Z3" s="46" t="s">
        <v>80</v>
      </c>
      <c r="AA3" s="46" t="e">
        <f>Z3*Y3</f>
        <v>#VALUE!</v>
      </c>
      <c r="AB3" s="46"/>
      <c r="AC3" s="18" t="s">
        <v>81</v>
      </c>
      <c r="AD3" s="37">
        <v>1</v>
      </c>
      <c r="AE3" s="15">
        <v>300</v>
      </c>
      <c r="AF3" s="47">
        <v>10</v>
      </c>
      <c r="AG3" s="47">
        <f>AD3*AE3*AF3</f>
        <v>3000</v>
      </c>
      <c r="AH3" s="53">
        <f>AG3/SUM($AG$3:$AG$44)</f>
        <v>0.25698132602364226</v>
      </c>
      <c r="AI3" s="22"/>
      <c r="AJ3" s="29"/>
      <c r="AN3" s="32" t="s">
        <v>82</v>
      </c>
    </row>
    <row r="4" spans="1:41" ht="44.25" customHeight="1" x14ac:dyDescent="0.3">
      <c r="A4" s="85"/>
      <c r="B4" s="86"/>
      <c r="C4" s="9" t="s">
        <v>83</v>
      </c>
      <c r="D4" s="18" t="s">
        <v>79</v>
      </c>
      <c r="E4" s="105"/>
      <c r="F4" s="56">
        <v>0.3</v>
      </c>
      <c r="G4" s="56">
        <f t="shared" ref="G4:G6" si="0">F4*$E$3</f>
        <v>7.4999999999999997E-2</v>
      </c>
      <c r="H4" s="56"/>
      <c r="I4" s="105"/>
      <c r="J4" s="56" t="s">
        <v>80</v>
      </c>
      <c r="K4" s="56" t="e">
        <f>J4*I3</f>
        <v>#VALUE!</v>
      </c>
      <c r="L4" s="56"/>
      <c r="M4" s="105"/>
      <c r="N4" s="56" t="s">
        <v>80</v>
      </c>
      <c r="O4" s="56" t="e">
        <f>N4*M3</f>
        <v>#VALUE!</v>
      </c>
      <c r="P4" s="56"/>
      <c r="Q4" s="105"/>
      <c r="R4" s="56" t="s">
        <v>80</v>
      </c>
      <c r="S4" s="56" t="e">
        <f>R4*Q3</f>
        <v>#VALUE!</v>
      </c>
      <c r="T4" s="56"/>
      <c r="U4" s="105"/>
      <c r="V4" s="56" t="s">
        <v>80</v>
      </c>
      <c r="W4" s="56" t="e">
        <f>V4*U3</f>
        <v>#VALUE!</v>
      </c>
      <c r="X4" s="56"/>
      <c r="Y4" s="105"/>
      <c r="Z4" s="56" t="s">
        <v>80</v>
      </c>
      <c r="AA4" s="56" t="e">
        <f>Z4*Y3</f>
        <v>#VALUE!</v>
      </c>
      <c r="AB4" s="56"/>
      <c r="AC4" s="18" t="s">
        <v>81</v>
      </c>
      <c r="AD4" s="65">
        <v>1</v>
      </c>
      <c r="AE4" s="20">
        <v>300</v>
      </c>
      <c r="AF4" s="21">
        <v>10</v>
      </c>
      <c r="AG4" s="21">
        <f t="shared" ref="AG4:AG44" si="1">AD4*AE4*AF4</f>
        <v>3000</v>
      </c>
      <c r="AH4" s="34">
        <f t="shared" ref="AH4:AH44" si="2">AG4/SUM($AG$3:$AG$44)</f>
        <v>0.25698132602364226</v>
      </c>
      <c r="AI4" s="22"/>
      <c r="AJ4" s="25" t="s">
        <v>84</v>
      </c>
      <c r="AN4" s="33" t="s">
        <v>85</v>
      </c>
      <c r="AO4" s="39">
        <f>AO1*(AO3)</f>
        <v>0</v>
      </c>
    </row>
    <row r="5" spans="1:41" ht="93.75" x14ac:dyDescent="0.3">
      <c r="A5" s="85"/>
      <c r="B5" s="86"/>
      <c r="C5" s="9" t="s">
        <v>86</v>
      </c>
      <c r="D5" s="23" t="s">
        <v>87</v>
      </c>
      <c r="E5" s="106"/>
      <c r="F5" s="15">
        <v>0.4</v>
      </c>
      <c r="G5" s="18">
        <f t="shared" si="0"/>
        <v>0.1</v>
      </c>
      <c r="H5" s="18">
        <f>G5*AI5</f>
        <v>6.9999999999999993E-2</v>
      </c>
      <c r="I5" s="106"/>
      <c r="J5" s="15">
        <v>0.1</v>
      </c>
      <c r="K5" s="58">
        <f>J5*I3</f>
        <v>2.0000000000000004E-2</v>
      </c>
      <c r="L5" s="58">
        <f>K5*AI5</f>
        <v>1.4000000000000002E-2</v>
      </c>
      <c r="M5" s="106"/>
      <c r="N5" s="15">
        <v>0.5</v>
      </c>
      <c r="O5" s="18">
        <f>N5*M3</f>
        <v>0.1</v>
      </c>
      <c r="P5" s="18">
        <f>O5*AI5</f>
        <v>6.9999999999999993E-2</v>
      </c>
      <c r="Q5" s="106"/>
      <c r="R5" s="15">
        <v>0.2</v>
      </c>
      <c r="S5" s="18">
        <f>R5*Q3</f>
        <v>4.0000000000000008E-2</v>
      </c>
      <c r="T5" s="18">
        <f>S5*AI5</f>
        <v>2.8000000000000004E-2</v>
      </c>
      <c r="U5" s="106"/>
      <c r="V5" s="15">
        <v>0.9</v>
      </c>
      <c r="W5" s="18">
        <f>V5*U3</f>
        <v>0.27</v>
      </c>
      <c r="X5" s="18">
        <f>W5*AI5</f>
        <v>0.189</v>
      </c>
      <c r="Y5" s="106"/>
      <c r="Z5" s="15">
        <v>1</v>
      </c>
      <c r="AA5" s="18">
        <f>Z5*Y3</f>
        <v>0.3</v>
      </c>
      <c r="AB5" s="70">
        <f>AA5*AI5</f>
        <v>0.21</v>
      </c>
      <c r="AC5" s="63" t="s">
        <v>81</v>
      </c>
      <c r="AD5" s="36">
        <v>1</v>
      </c>
      <c r="AE5" s="64">
        <v>300</v>
      </c>
      <c r="AF5" s="21">
        <v>15</v>
      </c>
      <c r="AG5" s="21">
        <f t="shared" si="1"/>
        <v>4500</v>
      </c>
      <c r="AH5" s="34">
        <f t="shared" si="2"/>
        <v>0.38547198903546342</v>
      </c>
      <c r="AI5" s="71">
        <v>0.7</v>
      </c>
      <c r="AJ5" s="26" t="s">
        <v>88</v>
      </c>
    </row>
    <row r="6" spans="1:41" ht="41.25" customHeight="1" x14ac:dyDescent="0.3">
      <c r="A6" s="85"/>
      <c r="B6" s="86"/>
      <c r="C6" s="9" t="s">
        <v>89</v>
      </c>
      <c r="D6" s="18" t="s">
        <v>79</v>
      </c>
      <c r="E6" s="107"/>
      <c r="F6" s="46">
        <v>0.2</v>
      </c>
      <c r="G6" s="46">
        <f t="shared" si="0"/>
        <v>0.05</v>
      </c>
      <c r="H6" s="46"/>
      <c r="I6" s="107"/>
      <c r="J6" s="46" t="s">
        <v>80</v>
      </c>
      <c r="K6" s="46" t="e">
        <f>J6*I3</f>
        <v>#VALUE!</v>
      </c>
      <c r="L6" s="46"/>
      <c r="M6" s="107"/>
      <c r="N6" s="46" t="s">
        <v>80</v>
      </c>
      <c r="O6" s="46" t="e">
        <f>N6*M3</f>
        <v>#VALUE!</v>
      </c>
      <c r="P6" s="46"/>
      <c r="Q6" s="107"/>
      <c r="R6" s="46" t="s">
        <v>80</v>
      </c>
      <c r="S6" s="46" t="e">
        <f>R6*Q3</f>
        <v>#VALUE!</v>
      </c>
      <c r="T6" s="46"/>
      <c r="U6" s="107"/>
      <c r="V6" s="46" t="s">
        <v>80</v>
      </c>
      <c r="W6" s="46" t="e">
        <f>V6*U3</f>
        <v>#VALUE!</v>
      </c>
      <c r="X6" s="46"/>
      <c r="Y6" s="107"/>
      <c r="Z6" s="46" t="s">
        <v>80</v>
      </c>
      <c r="AA6" s="46" t="e">
        <f>Z6*Y3</f>
        <v>#VALUE!</v>
      </c>
      <c r="AB6" s="46"/>
      <c r="AC6" s="18" t="s">
        <v>81</v>
      </c>
      <c r="AD6" s="66">
        <v>1</v>
      </c>
      <c r="AE6" s="20">
        <v>3</v>
      </c>
      <c r="AF6" s="21">
        <v>5</v>
      </c>
      <c r="AG6" s="21">
        <f t="shared" si="1"/>
        <v>15</v>
      </c>
      <c r="AH6" s="34">
        <f t="shared" si="2"/>
        <v>1.2849066301182115E-3</v>
      </c>
      <c r="AI6" s="22"/>
      <c r="AJ6" s="29"/>
    </row>
    <row r="7" spans="1:41" ht="56.25" x14ac:dyDescent="0.3">
      <c r="A7" s="85">
        <v>2</v>
      </c>
      <c r="B7" s="86" t="s">
        <v>90</v>
      </c>
      <c r="C7" s="9" t="s">
        <v>91</v>
      </c>
      <c r="D7" s="18" t="s">
        <v>79</v>
      </c>
      <c r="E7" s="104">
        <v>0.04</v>
      </c>
      <c r="F7" s="18">
        <v>0.1</v>
      </c>
      <c r="G7" s="46">
        <f>F7*$E$7</f>
        <v>4.0000000000000001E-3</v>
      </c>
      <c r="H7" s="56"/>
      <c r="I7" s="104"/>
      <c r="J7" s="18" t="s">
        <v>80</v>
      </c>
      <c r="K7" s="46" t="e">
        <f>J7*I7</f>
        <v>#VALUE!</v>
      </c>
      <c r="L7" s="56"/>
      <c r="M7" s="104"/>
      <c r="N7" s="18" t="s">
        <v>80</v>
      </c>
      <c r="O7" s="46" t="e">
        <f>N7*M7</f>
        <v>#VALUE!</v>
      </c>
      <c r="P7" s="56"/>
      <c r="Q7" s="104"/>
      <c r="R7" s="18" t="s">
        <v>80</v>
      </c>
      <c r="S7" s="46" t="e">
        <f>R7*Q7</f>
        <v>#VALUE!</v>
      </c>
      <c r="T7" s="56"/>
      <c r="U7" s="104"/>
      <c r="V7" s="18" t="s">
        <v>80</v>
      </c>
      <c r="W7" s="46" t="e">
        <f>V7*U7</f>
        <v>#VALUE!</v>
      </c>
      <c r="X7" s="56"/>
      <c r="Y7" s="104"/>
      <c r="Z7" s="18" t="s">
        <v>80</v>
      </c>
      <c r="AA7" s="46" t="e">
        <f>Z7*Y7</f>
        <v>#VALUE!</v>
      </c>
      <c r="AB7" s="46"/>
      <c r="AC7" s="18" t="s">
        <v>81</v>
      </c>
      <c r="AD7" s="36">
        <v>1</v>
      </c>
      <c r="AE7" s="20">
        <v>6</v>
      </c>
      <c r="AF7" s="21">
        <v>2</v>
      </c>
      <c r="AG7" s="21">
        <f t="shared" si="1"/>
        <v>12</v>
      </c>
      <c r="AH7" s="34">
        <f t="shared" si="2"/>
        <v>1.027925304094569E-3</v>
      </c>
      <c r="AI7" s="22"/>
      <c r="AJ7" s="29"/>
    </row>
    <row r="8" spans="1:41" ht="37.5" x14ac:dyDescent="0.3">
      <c r="A8" s="85"/>
      <c r="B8" s="86"/>
      <c r="C8" s="9" t="s">
        <v>92</v>
      </c>
      <c r="D8" s="18" t="s">
        <v>79</v>
      </c>
      <c r="E8" s="105"/>
      <c r="F8" s="18">
        <v>0.1</v>
      </c>
      <c r="G8" s="46">
        <f t="shared" ref="G8:G9" si="3">F8*$E$7</f>
        <v>4.0000000000000001E-3</v>
      </c>
      <c r="H8" s="56"/>
      <c r="I8" s="105"/>
      <c r="J8" s="18" t="s">
        <v>80</v>
      </c>
      <c r="K8" s="46" t="e">
        <f>J8*I7</f>
        <v>#VALUE!</v>
      </c>
      <c r="L8" s="56"/>
      <c r="M8" s="105"/>
      <c r="N8" s="18" t="s">
        <v>80</v>
      </c>
      <c r="O8" s="46" t="e">
        <f>N8*M7</f>
        <v>#VALUE!</v>
      </c>
      <c r="P8" s="56"/>
      <c r="Q8" s="105"/>
      <c r="R8" s="18" t="s">
        <v>80</v>
      </c>
      <c r="S8" s="46" t="e">
        <f>R8*Q7</f>
        <v>#VALUE!</v>
      </c>
      <c r="T8" s="56"/>
      <c r="U8" s="105"/>
      <c r="V8" s="18" t="s">
        <v>80</v>
      </c>
      <c r="W8" s="46" t="e">
        <f>V8*U7</f>
        <v>#VALUE!</v>
      </c>
      <c r="X8" s="56"/>
      <c r="Y8" s="105"/>
      <c r="Z8" s="18" t="s">
        <v>80</v>
      </c>
      <c r="AA8" s="46" t="e">
        <f>Z8*Y7</f>
        <v>#VALUE!</v>
      </c>
      <c r="AB8" s="46"/>
      <c r="AC8" s="18" t="s">
        <v>81</v>
      </c>
      <c r="AD8" s="36">
        <v>1</v>
      </c>
      <c r="AE8" s="20">
        <v>6</v>
      </c>
      <c r="AF8" s="21">
        <v>2</v>
      </c>
      <c r="AG8" s="21">
        <f t="shared" si="1"/>
        <v>12</v>
      </c>
      <c r="AH8" s="34">
        <f t="shared" si="2"/>
        <v>1.027925304094569E-3</v>
      </c>
      <c r="AI8" s="22"/>
      <c r="AJ8" s="29"/>
      <c r="AN8">
        <f>120/8</f>
        <v>15</v>
      </c>
    </row>
    <row r="9" spans="1:41" ht="37.5" x14ac:dyDescent="0.3">
      <c r="A9" s="85"/>
      <c r="B9" s="86"/>
      <c r="C9" s="9" t="s">
        <v>93</v>
      </c>
      <c r="D9" s="18" t="s">
        <v>79</v>
      </c>
      <c r="E9" s="105"/>
      <c r="F9" s="55">
        <v>0.8</v>
      </c>
      <c r="G9" s="56">
        <f t="shared" si="3"/>
        <v>3.2000000000000001E-2</v>
      </c>
      <c r="H9" s="56"/>
      <c r="I9" s="105"/>
      <c r="J9" s="55" t="s">
        <v>80</v>
      </c>
      <c r="K9" s="56" t="e">
        <f>J9*I7</f>
        <v>#VALUE!</v>
      </c>
      <c r="L9" s="56"/>
      <c r="M9" s="105"/>
      <c r="N9" s="55" t="s">
        <v>80</v>
      </c>
      <c r="O9" s="56" t="e">
        <f>N9*M7</f>
        <v>#VALUE!</v>
      </c>
      <c r="P9" s="56"/>
      <c r="Q9" s="105"/>
      <c r="R9" s="55" t="s">
        <v>80</v>
      </c>
      <c r="S9" s="56" t="e">
        <f>R9*Q7</f>
        <v>#VALUE!</v>
      </c>
      <c r="T9" s="56"/>
      <c r="U9" s="105"/>
      <c r="V9" s="55" t="s">
        <v>80</v>
      </c>
      <c r="W9" s="56" t="e">
        <f>V9*U7</f>
        <v>#VALUE!</v>
      </c>
      <c r="X9" s="56"/>
      <c r="Y9" s="105"/>
      <c r="Z9" s="55" t="s">
        <v>80</v>
      </c>
      <c r="AA9" s="56" t="e">
        <f>Z9*Y7</f>
        <v>#VALUE!</v>
      </c>
      <c r="AB9" s="56"/>
      <c r="AC9" s="18" t="s">
        <v>81</v>
      </c>
      <c r="AD9" s="65">
        <v>1</v>
      </c>
      <c r="AE9" s="20">
        <v>6</v>
      </c>
      <c r="AF9" s="21">
        <v>6</v>
      </c>
      <c r="AG9" s="21">
        <f t="shared" si="1"/>
        <v>36</v>
      </c>
      <c r="AH9" s="34">
        <f t="shared" si="2"/>
        <v>3.0837759122837073E-3</v>
      </c>
      <c r="AI9" s="22"/>
      <c r="AJ9" s="29"/>
    </row>
    <row r="10" spans="1:41" ht="37.5" x14ac:dyDescent="0.3">
      <c r="A10" s="85">
        <v>3</v>
      </c>
      <c r="B10" s="86" t="s">
        <v>12</v>
      </c>
      <c r="C10" s="9" t="s">
        <v>94</v>
      </c>
      <c r="D10" s="23" t="s">
        <v>87</v>
      </c>
      <c r="E10" s="86">
        <v>0.15</v>
      </c>
      <c r="F10" s="15">
        <v>0.1</v>
      </c>
      <c r="G10" s="15">
        <f>F10*$E$10</f>
        <v>1.4999999999999999E-2</v>
      </c>
      <c r="H10" s="18">
        <f t="shared" ref="H10:H13" si="4">G10*AI10</f>
        <v>1.2E-2</v>
      </c>
      <c r="I10" s="86">
        <v>0.1</v>
      </c>
      <c r="J10" s="15">
        <v>0.1</v>
      </c>
      <c r="K10" s="23">
        <f>J10*I10</f>
        <v>1.0000000000000002E-2</v>
      </c>
      <c r="L10" s="58">
        <f t="shared" ref="L10:L13" si="5">K10*AI10</f>
        <v>8.0000000000000019E-3</v>
      </c>
      <c r="M10" s="86">
        <v>0.1</v>
      </c>
      <c r="N10" s="15">
        <v>0.1</v>
      </c>
      <c r="O10" s="15">
        <f>N10*M10</f>
        <v>1.0000000000000002E-2</v>
      </c>
      <c r="P10" s="18">
        <f t="shared" ref="P10:P13" si="6">O10*AI10</f>
        <v>8.0000000000000019E-3</v>
      </c>
      <c r="Q10" s="86">
        <v>0.1</v>
      </c>
      <c r="R10" s="15">
        <v>0.1</v>
      </c>
      <c r="S10" s="15">
        <f>R10*Q10</f>
        <v>1.0000000000000002E-2</v>
      </c>
      <c r="T10" s="18">
        <f t="shared" ref="T10:T13" si="7">S10*AI10</f>
        <v>8.0000000000000019E-3</v>
      </c>
      <c r="U10" s="86">
        <v>0.1</v>
      </c>
      <c r="V10" s="15">
        <v>0.1</v>
      </c>
      <c r="W10" s="15">
        <f>V10*U10</f>
        <v>1.0000000000000002E-2</v>
      </c>
      <c r="X10" s="18">
        <f t="shared" ref="X10:X13" si="8">W10*AI10</f>
        <v>8.0000000000000019E-3</v>
      </c>
      <c r="Y10" s="86">
        <v>0.1</v>
      </c>
      <c r="Z10" s="15">
        <v>0.1</v>
      </c>
      <c r="AA10" s="15">
        <f>Z10*Y10</f>
        <v>1.0000000000000002E-2</v>
      </c>
      <c r="AB10" s="70">
        <f>AA10*AI10</f>
        <v>8.0000000000000019E-3</v>
      </c>
      <c r="AC10" s="63" t="s">
        <v>81</v>
      </c>
      <c r="AD10" s="36">
        <v>1</v>
      </c>
      <c r="AE10" s="64">
        <v>3</v>
      </c>
      <c r="AF10" s="21">
        <v>1</v>
      </c>
      <c r="AG10" s="21">
        <f t="shared" si="1"/>
        <v>3</v>
      </c>
      <c r="AH10" s="34">
        <f t="shared" si="2"/>
        <v>2.5698132602364226E-4</v>
      </c>
      <c r="AI10" s="71">
        <v>0.8</v>
      </c>
      <c r="AJ10" s="29"/>
    </row>
    <row r="11" spans="1:41" ht="37.5" x14ac:dyDescent="0.3">
      <c r="A11" s="85"/>
      <c r="B11" s="86"/>
      <c r="C11" s="9" t="s">
        <v>95</v>
      </c>
      <c r="D11" s="23" t="s">
        <v>87</v>
      </c>
      <c r="E11" s="86"/>
      <c r="F11" s="15">
        <v>0.1</v>
      </c>
      <c r="G11" s="15">
        <f t="shared" ref="G11:G14" si="9">F11*$E$10</f>
        <v>1.4999999999999999E-2</v>
      </c>
      <c r="H11" s="18">
        <f t="shared" si="4"/>
        <v>1.2E-2</v>
      </c>
      <c r="I11" s="86"/>
      <c r="J11" s="15">
        <v>0.1</v>
      </c>
      <c r="K11" s="23">
        <f>J11*I10</f>
        <v>1.0000000000000002E-2</v>
      </c>
      <c r="L11" s="58">
        <f t="shared" si="5"/>
        <v>8.0000000000000019E-3</v>
      </c>
      <c r="M11" s="86"/>
      <c r="N11" s="15">
        <v>0.1</v>
      </c>
      <c r="O11" s="15">
        <f>N11*M10</f>
        <v>1.0000000000000002E-2</v>
      </c>
      <c r="P11" s="18">
        <f t="shared" si="6"/>
        <v>8.0000000000000019E-3</v>
      </c>
      <c r="Q11" s="86"/>
      <c r="R11" s="15">
        <v>0.1</v>
      </c>
      <c r="S11" s="15">
        <f>R11*Q10</f>
        <v>1.0000000000000002E-2</v>
      </c>
      <c r="T11" s="18">
        <f t="shared" si="7"/>
        <v>8.0000000000000019E-3</v>
      </c>
      <c r="U11" s="86"/>
      <c r="V11" s="15">
        <v>0.1</v>
      </c>
      <c r="W11" s="15">
        <f>V11*U10</f>
        <v>1.0000000000000002E-2</v>
      </c>
      <c r="X11" s="18">
        <f t="shared" si="8"/>
        <v>8.0000000000000019E-3</v>
      </c>
      <c r="Y11" s="86"/>
      <c r="Z11" s="15">
        <v>0.1</v>
      </c>
      <c r="AA11" s="15">
        <f>Z11*Y10</f>
        <v>1.0000000000000002E-2</v>
      </c>
      <c r="AB11" s="70">
        <f>AA11*AI11</f>
        <v>8.0000000000000019E-3</v>
      </c>
      <c r="AC11" s="63" t="s">
        <v>81</v>
      </c>
      <c r="AD11" s="36">
        <v>1</v>
      </c>
      <c r="AE11" s="64">
        <v>6</v>
      </c>
      <c r="AF11" s="21">
        <v>2</v>
      </c>
      <c r="AG11" s="21">
        <f t="shared" si="1"/>
        <v>12</v>
      </c>
      <c r="AH11" s="34">
        <f t="shared" si="2"/>
        <v>1.027925304094569E-3</v>
      </c>
      <c r="AI11" s="71">
        <v>0.8</v>
      </c>
      <c r="AJ11" s="29"/>
    </row>
    <row r="12" spans="1:41" ht="32.25" customHeight="1" x14ac:dyDescent="0.3">
      <c r="A12" s="85"/>
      <c r="B12" s="86"/>
      <c r="C12" s="9" t="s">
        <v>96</v>
      </c>
      <c r="D12" s="23" t="s">
        <v>87</v>
      </c>
      <c r="E12" s="86"/>
      <c r="F12" s="15">
        <v>0.2</v>
      </c>
      <c r="G12" s="15">
        <f t="shared" si="9"/>
        <v>0.03</v>
      </c>
      <c r="H12" s="18">
        <f t="shared" si="4"/>
        <v>2.4E-2</v>
      </c>
      <c r="I12" s="86"/>
      <c r="J12" s="15">
        <v>0.1</v>
      </c>
      <c r="K12" s="23">
        <f>J12*I10</f>
        <v>1.0000000000000002E-2</v>
      </c>
      <c r="L12" s="58">
        <f t="shared" si="5"/>
        <v>8.0000000000000019E-3</v>
      </c>
      <c r="M12" s="86"/>
      <c r="N12" s="15">
        <v>0.2</v>
      </c>
      <c r="O12" s="15">
        <f>N12*M10</f>
        <v>2.0000000000000004E-2</v>
      </c>
      <c r="P12" s="18">
        <f t="shared" si="6"/>
        <v>1.6000000000000004E-2</v>
      </c>
      <c r="Q12" s="86"/>
      <c r="R12" s="15">
        <v>0.2</v>
      </c>
      <c r="S12" s="15">
        <f>R12*Q10</f>
        <v>2.0000000000000004E-2</v>
      </c>
      <c r="T12" s="18">
        <f t="shared" si="7"/>
        <v>1.6000000000000004E-2</v>
      </c>
      <c r="U12" s="86"/>
      <c r="V12" s="15">
        <v>0.2</v>
      </c>
      <c r="W12" s="15">
        <f>V12*U10</f>
        <v>2.0000000000000004E-2</v>
      </c>
      <c r="X12" s="18">
        <f t="shared" si="8"/>
        <v>1.6000000000000004E-2</v>
      </c>
      <c r="Y12" s="86"/>
      <c r="Z12" s="15">
        <v>0.2</v>
      </c>
      <c r="AA12" s="15">
        <f>Z12*Y10</f>
        <v>2.0000000000000004E-2</v>
      </c>
      <c r="AB12" s="70">
        <f>AA12*AI12</f>
        <v>1.6000000000000004E-2</v>
      </c>
      <c r="AC12" s="63" t="s">
        <v>81</v>
      </c>
      <c r="AD12" s="36">
        <v>1</v>
      </c>
      <c r="AE12" s="64">
        <v>6</v>
      </c>
      <c r="AF12" s="21">
        <v>5</v>
      </c>
      <c r="AG12" s="21">
        <f t="shared" si="1"/>
        <v>30</v>
      </c>
      <c r="AH12" s="34">
        <f t="shared" si="2"/>
        <v>2.5698132602364229E-3</v>
      </c>
      <c r="AI12" s="71">
        <v>0.8</v>
      </c>
      <c r="AJ12" s="29"/>
    </row>
    <row r="13" spans="1:41" ht="37.5" x14ac:dyDescent="0.3">
      <c r="A13" s="85"/>
      <c r="B13" s="86"/>
      <c r="C13" s="9" t="s">
        <v>97</v>
      </c>
      <c r="D13" s="23" t="s">
        <v>87</v>
      </c>
      <c r="E13" s="86"/>
      <c r="F13" s="15">
        <v>0.2</v>
      </c>
      <c r="G13" s="15">
        <f t="shared" si="9"/>
        <v>0.03</v>
      </c>
      <c r="H13" s="18">
        <f t="shared" si="4"/>
        <v>2.4E-2</v>
      </c>
      <c r="I13" s="86"/>
      <c r="J13" s="15">
        <v>0.1</v>
      </c>
      <c r="K13" s="23">
        <f>J13*I10</f>
        <v>1.0000000000000002E-2</v>
      </c>
      <c r="L13" s="58">
        <f t="shared" si="5"/>
        <v>8.0000000000000019E-3</v>
      </c>
      <c r="M13" s="86"/>
      <c r="N13" s="15">
        <v>0.2</v>
      </c>
      <c r="O13" s="15">
        <f>N13*M10</f>
        <v>2.0000000000000004E-2</v>
      </c>
      <c r="P13" s="18">
        <f t="shared" si="6"/>
        <v>1.6000000000000004E-2</v>
      </c>
      <c r="Q13" s="86"/>
      <c r="R13" s="15">
        <v>0.2</v>
      </c>
      <c r="S13" s="15">
        <f>R13*Q10</f>
        <v>2.0000000000000004E-2</v>
      </c>
      <c r="T13" s="18">
        <f t="shared" si="7"/>
        <v>1.6000000000000004E-2</v>
      </c>
      <c r="U13" s="86"/>
      <c r="V13" s="15">
        <v>0.2</v>
      </c>
      <c r="W13" s="15">
        <f>V13*U10</f>
        <v>2.0000000000000004E-2</v>
      </c>
      <c r="X13" s="18">
        <f t="shared" si="8"/>
        <v>1.6000000000000004E-2</v>
      </c>
      <c r="Y13" s="86"/>
      <c r="Z13" s="15">
        <v>0.2</v>
      </c>
      <c r="AA13" s="15">
        <f>Z13*Y10</f>
        <v>2.0000000000000004E-2</v>
      </c>
      <c r="AB13" s="70">
        <f>AA13*AI13</f>
        <v>1.6000000000000004E-2</v>
      </c>
      <c r="AC13" s="63" t="s">
        <v>81</v>
      </c>
      <c r="AD13" s="36">
        <v>1</v>
      </c>
      <c r="AE13" s="64">
        <v>6</v>
      </c>
      <c r="AF13" s="21">
        <v>4</v>
      </c>
      <c r="AG13" s="21">
        <f t="shared" si="1"/>
        <v>24</v>
      </c>
      <c r="AH13" s="34">
        <f t="shared" si="2"/>
        <v>2.0558506081891381E-3</v>
      </c>
      <c r="AI13" s="71">
        <v>0.8</v>
      </c>
      <c r="AJ13" s="29"/>
    </row>
    <row r="14" spans="1:41" ht="37.5" x14ac:dyDescent="0.3">
      <c r="A14" s="85"/>
      <c r="B14" s="86"/>
      <c r="C14" s="9" t="s">
        <v>98</v>
      </c>
      <c r="D14" s="18" t="s">
        <v>79</v>
      </c>
      <c r="E14" s="108"/>
      <c r="F14" s="46">
        <v>0.4</v>
      </c>
      <c r="G14" s="57">
        <f t="shared" si="9"/>
        <v>0.06</v>
      </c>
      <c r="H14" s="57"/>
      <c r="I14" s="108"/>
      <c r="J14" s="46" t="s">
        <v>80</v>
      </c>
      <c r="K14" s="57" t="e">
        <f t="shared" ref="K14" si="10">J14*$I$10</f>
        <v>#VALUE!</v>
      </c>
      <c r="L14" s="57"/>
      <c r="M14" s="108"/>
      <c r="N14" s="46" t="s">
        <v>80</v>
      </c>
      <c r="O14" s="57" t="e">
        <f t="shared" ref="O14" si="11">N14*$I$10</f>
        <v>#VALUE!</v>
      </c>
      <c r="P14" s="57"/>
      <c r="Q14" s="108"/>
      <c r="R14" s="46" t="s">
        <v>80</v>
      </c>
      <c r="S14" s="57" t="e">
        <f t="shared" ref="S14" si="12">R14*$I$10</f>
        <v>#VALUE!</v>
      </c>
      <c r="T14" s="57"/>
      <c r="U14" s="108"/>
      <c r="V14" s="46" t="s">
        <v>80</v>
      </c>
      <c r="W14" s="57" t="e">
        <f t="shared" ref="W14" si="13">V14*$I$10</f>
        <v>#VALUE!</v>
      </c>
      <c r="X14" s="57"/>
      <c r="Y14" s="108"/>
      <c r="Z14" s="46" t="s">
        <v>80</v>
      </c>
      <c r="AA14" s="57" t="e">
        <f t="shared" ref="AA14" si="14">Z14*$I$10</f>
        <v>#VALUE!</v>
      </c>
      <c r="AB14" s="57"/>
      <c r="AC14" s="18" t="s">
        <v>81</v>
      </c>
      <c r="AD14" s="66">
        <v>1</v>
      </c>
      <c r="AE14" s="20">
        <v>6</v>
      </c>
      <c r="AF14" s="21">
        <v>8</v>
      </c>
      <c r="AG14" s="21">
        <f t="shared" si="1"/>
        <v>48</v>
      </c>
      <c r="AH14" s="34">
        <f t="shared" si="2"/>
        <v>4.1117012163782761E-3</v>
      </c>
      <c r="AI14" s="71"/>
      <c r="AJ14" s="29"/>
    </row>
    <row r="15" spans="1:41" ht="37.5" x14ac:dyDescent="0.3">
      <c r="A15" s="85">
        <v>4</v>
      </c>
      <c r="B15" s="86" t="s">
        <v>17</v>
      </c>
      <c r="C15" s="9" t="s">
        <v>99</v>
      </c>
      <c r="D15" s="18" t="s">
        <v>79</v>
      </c>
      <c r="E15" s="104">
        <v>0.15</v>
      </c>
      <c r="F15" s="55">
        <v>0.1</v>
      </c>
      <c r="G15" s="55">
        <f>F15*$E$15</f>
        <v>1.4999999999999999E-2</v>
      </c>
      <c r="H15" s="55"/>
      <c r="I15" s="104">
        <v>0.1</v>
      </c>
      <c r="J15" s="55" t="s">
        <v>80</v>
      </c>
      <c r="K15" s="55" t="e">
        <f>J15*I15</f>
        <v>#VALUE!</v>
      </c>
      <c r="L15" s="55"/>
      <c r="M15" s="104">
        <v>0</v>
      </c>
      <c r="N15" s="55" t="s">
        <v>80</v>
      </c>
      <c r="O15" s="55" t="e">
        <f>N15*M15</f>
        <v>#VALUE!</v>
      </c>
      <c r="P15" s="55"/>
      <c r="Q15" s="104">
        <v>0.05</v>
      </c>
      <c r="R15" s="55"/>
      <c r="S15" s="55">
        <f>R15*Q15</f>
        <v>0</v>
      </c>
      <c r="T15" s="55"/>
      <c r="U15" s="104">
        <v>0</v>
      </c>
      <c r="V15" s="55"/>
      <c r="W15" s="55">
        <f>V15*U15</f>
        <v>0</v>
      </c>
      <c r="X15" s="55"/>
      <c r="Y15" s="104"/>
      <c r="Z15" s="55"/>
      <c r="AA15" s="55">
        <f>Z15*Y15</f>
        <v>0</v>
      </c>
      <c r="AB15" s="55"/>
      <c r="AC15" s="18" t="s">
        <v>100</v>
      </c>
      <c r="AD15" s="65">
        <v>1</v>
      </c>
      <c r="AE15" s="20">
        <v>3</v>
      </c>
      <c r="AF15" s="21">
        <v>1</v>
      </c>
      <c r="AG15" s="21">
        <f t="shared" si="1"/>
        <v>3</v>
      </c>
      <c r="AH15" s="34">
        <f t="shared" si="2"/>
        <v>2.5698132602364226E-4</v>
      </c>
      <c r="AI15" s="71"/>
      <c r="AJ15" s="29"/>
    </row>
    <row r="16" spans="1:41" ht="56.25" x14ac:dyDescent="0.3">
      <c r="A16" s="85"/>
      <c r="B16" s="86"/>
      <c r="C16" s="9" t="s">
        <v>101</v>
      </c>
      <c r="D16" s="23" t="s">
        <v>87</v>
      </c>
      <c r="E16" s="106"/>
      <c r="F16" s="15">
        <v>0.1</v>
      </c>
      <c r="G16" s="18">
        <f t="shared" ref="G16:G18" si="15">F16*$E$15</f>
        <v>1.4999999999999999E-2</v>
      </c>
      <c r="H16" s="18">
        <f t="shared" ref="H16:H17" si="16">G16*AI16</f>
        <v>1.2E-2</v>
      </c>
      <c r="I16" s="106"/>
      <c r="J16" s="15">
        <v>0.05</v>
      </c>
      <c r="K16" s="58">
        <f>J16*I15</f>
        <v>5.000000000000001E-3</v>
      </c>
      <c r="L16" s="58">
        <f t="shared" ref="L16:L17" si="17">K16*AI16</f>
        <v>4.000000000000001E-3</v>
      </c>
      <c r="M16" s="106"/>
      <c r="N16" s="15"/>
      <c r="O16" s="18">
        <f>N16*M15</f>
        <v>0</v>
      </c>
      <c r="P16" s="18">
        <f t="shared" ref="P16:P17" si="18">O16*AI16</f>
        <v>0</v>
      </c>
      <c r="Q16" s="106"/>
      <c r="R16" s="15">
        <v>0.1</v>
      </c>
      <c r="S16" s="18">
        <f>R16*Q15</f>
        <v>5.000000000000001E-3</v>
      </c>
      <c r="T16" s="18">
        <f t="shared" ref="T16:T17" si="19">S16*AI16</f>
        <v>4.000000000000001E-3</v>
      </c>
      <c r="U16" s="106"/>
      <c r="V16" s="15"/>
      <c r="W16" s="18">
        <f>V16*U15</f>
        <v>0</v>
      </c>
      <c r="X16" s="18">
        <f t="shared" ref="X16:X17" si="20">W16*AI16</f>
        <v>0</v>
      </c>
      <c r="Y16" s="106"/>
      <c r="Z16" s="15"/>
      <c r="AA16" s="18">
        <f>Z16*Y15</f>
        <v>0</v>
      </c>
      <c r="AB16" s="70">
        <f>AA16*AI16</f>
        <v>0</v>
      </c>
      <c r="AC16" s="63" t="s">
        <v>100</v>
      </c>
      <c r="AD16" s="36">
        <v>1</v>
      </c>
      <c r="AE16" s="64">
        <v>6</v>
      </c>
      <c r="AF16" s="21">
        <v>4</v>
      </c>
      <c r="AG16" s="21">
        <f t="shared" si="1"/>
        <v>24</v>
      </c>
      <c r="AH16" s="34">
        <f t="shared" si="2"/>
        <v>2.0558506081891381E-3</v>
      </c>
      <c r="AI16" s="71">
        <v>0.8</v>
      </c>
      <c r="AJ16" s="29"/>
    </row>
    <row r="17" spans="1:36" ht="37.5" x14ac:dyDescent="0.3">
      <c r="A17" s="85"/>
      <c r="B17" s="86"/>
      <c r="C17" s="9" t="s">
        <v>102</v>
      </c>
      <c r="D17" s="23" t="s">
        <v>87</v>
      </c>
      <c r="E17" s="106"/>
      <c r="F17" s="15">
        <v>0.3</v>
      </c>
      <c r="G17" s="18">
        <f t="shared" si="15"/>
        <v>4.4999999999999998E-2</v>
      </c>
      <c r="H17" s="18">
        <f t="shared" si="16"/>
        <v>3.5999999999999997E-2</v>
      </c>
      <c r="I17" s="106"/>
      <c r="J17" s="15">
        <v>0.05</v>
      </c>
      <c r="K17" s="58">
        <f>J17*I15</f>
        <v>5.000000000000001E-3</v>
      </c>
      <c r="L17" s="58">
        <f t="shared" si="17"/>
        <v>4.000000000000001E-3</v>
      </c>
      <c r="M17" s="106"/>
      <c r="N17" s="15"/>
      <c r="O17" s="18">
        <f>N17*M15</f>
        <v>0</v>
      </c>
      <c r="P17" s="18">
        <f t="shared" si="18"/>
        <v>0</v>
      </c>
      <c r="Q17" s="106"/>
      <c r="R17" s="15">
        <v>0.1</v>
      </c>
      <c r="S17" s="18">
        <f>R17*Q15</f>
        <v>5.000000000000001E-3</v>
      </c>
      <c r="T17" s="18">
        <f t="shared" si="19"/>
        <v>4.000000000000001E-3</v>
      </c>
      <c r="U17" s="106"/>
      <c r="V17" s="15"/>
      <c r="W17" s="18">
        <f>V17*U15</f>
        <v>0</v>
      </c>
      <c r="X17" s="18">
        <f t="shared" si="20"/>
        <v>0</v>
      </c>
      <c r="Y17" s="106"/>
      <c r="Z17" s="15"/>
      <c r="AA17" s="18">
        <f>Z17*Y15</f>
        <v>0</v>
      </c>
      <c r="AB17" s="70">
        <f>AA17*AI17</f>
        <v>0</v>
      </c>
      <c r="AC17" s="63" t="s">
        <v>100</v>
      </c>
      <c r="AD17" s="36">
        <v>1</v>
      </c>
      <c r="AE17" s="64">
        <v>6</v>
      </c>
      <c r="AF17" s="21">
        <v>5</v>
      </c>
      <c r="AG17" s="21">
        <f t="shared" si="1"/>
        <v>30</v>
      </c>
      <c r="AH17" s="34">
        <f t="shared" si="2"/>
        <v>2.5698132602364229E-3</v>
      </c>
      <c r="AI17" s="71">
        <v>0.8</v>
      </c>
      <c r="AJ17" s="29"/>
    </row>
    <row r="18" spans="1:36" ht="37.5" x14ac:dyDescent="0.3">
      <c r="A18" s="85"/>
      <c r="B18" s="86"/>
      <c r="C18" s="9" t="s">
        <v>103</v>
      </c>
      <c r="D18" s="18" t="s">
        <v>79</v>
      </c>
      <c r="E18" s="107"/>
      <c r="F18" s="46">
        <v>0.5</v>
      </c>
      <c r="G18" s="46">
        <f t="shared" si="15"/>
        <v>7.4999999999999997E-2</v>
      </c>
      <c r="H18" s="46"/>
      <c r="I18" s="107"/>
      <c r="J18" s="46" t="s">
        <v>80</v>
      </c>
      <c r="K18" s="46" t="e">
        <f>J18*I15</f>
        <v>#VALUE!</v>
      </c>
      <c r="L18" s="46"/>
      <c r="M18" s="107"/>
      <c r="N18" s="46" t="s">
        <v>80</v>
      </c>
      <c r="O18" s="46" t="e">
        <f>N18*M15</f>
        <v>#VALUE!</v>
      </c>
      <c r="P18" s="46"/>
      <c r="Q18" s="107"/>
      <c r="R18" s="46"/>
      <c r="S18" s="46">
        <f>R18*Q15</f>
        <v>0</v>
      </c>
      <c r="T18" s="46"/>
      <c r="U18" s="107"/>
      <c r="V18" s="46"/>
      <c r="W18" s="46">
        <f>V18*U15</f>
        <v>0</v>
      </c>
      <c r="X18" s="46"/>
      <c r="Y18" s="107"/>
      <c r="Z18" s="46"/>
      <c r="AA18" s="46">
        <f>Z18*Y15</f>
        <v>0</v>
      </c>
      <c r="AB18" s="46"/>
      <c r="AC18" s="18" t="s">
        <v>81</v>
      </c>
      <c r="AD18" s="66">
        <v>1</v>
      </c>
      <c r="AE18" s="20">
        <v>6</v>
      </c>
      <c r="AF18" s="21">
        <v>10</v>
      </c>
      <c r="AG18" s="21">
        <f t="shared" si="1"/>
        <v>60</v>
      </c>
      <c r="AH18" s="34">
        <f t="shared" si="2"/>
        <v>5.1396265204728458E-3</v>
      </c>
      <c r="AI18" s="71"/>
      <c r="AJ18" s="29"/>
    </row>
    <row r="19" spans="1:36" ht="37.5" x14ac:dyDescent="0.3">
      <c r="A19" s="85">
        <v>5</v>
      </c>
      <c r="B19" s="86" t="s">
        <v>20</v>
      </c>
      <c r="C19" s="12" t="s">
        <v>104</v>
      </c>
      <c r="D19" s="18" t="s">
        <v>79</v>
      </c>
      <c r="E19" s="104"/>
      <c r="F19" s="55"/>
      <c r="G19" s="55">
        <f>F19*$E$19</f>
        <v>0</v>
      </c>
      <c r="H19" s="55"/>
      <c r="I19" s="104">
        <v>0.1</v>
      </c>
      <c r="J19" s="55"/>
      <c r="K19" s="55">
        <f>J19*I19</f>
        <v>0</v>
      </c>
      <c r="L19" s="55"/>
      <c r="M19" s="104">
        <v>0.1</v>
      </c>
      <c r="N19" s="55"/>
      <c r="O19" s="55">
        <f>N19*M19</f>
        <v>0</v>
      </c>
      <c r="P19" s="55"/>
      <c r="Q19" s="104">
        <v>0.05</v>
      </c>
      <c r="R19" s="55" t="s">
        <v>80</v>
      </c>
      <c r="S19" s="55" t="e">
        <f>R19*Q19</f>
        <v>#VALUE!</v>
      </c>
      <c r="T19" s="55"/>
      <c r="U19" s="104">
        <v>0.1</v>
      </c>
      <c r="V19" s="55" t="s">
        <v>80</v>
      </c>
      <c r="W19" s="55" t="e">
        <f>V19*U19</f>
        <v>#VALUE!</v>
      </c>
      <c r="X19" s="55"/>
      <c r="Y19" s="104">
        <v>0.1</v>
      </c>
      <c r="Z19" s="55" t="s">
        <v>80</v>
      </c>
      <c r="AA19" s="55" t="e">
        <f>Z19*Y19</f>
        <v>#VALUE!</v>
      </c>
      <c r="AB19" s="55"/>
      <c r="AC19" s="18" t="s">
        <v>81</v>
      </c>
      <c r="AD19" s="65">
        <v>1</v>
      </c>
      <c r="AE19" s="15">
        <v>3</v>
      </c>
      <c r="AF19" s="23">
        <v>1</v>
      </c>
      <c r="AG19" s="21">
        <f t="shared" si="1"/>
        <v>3</v>
      </c>
      <c r="AH19" s="34">
        <f t="shared" si="2"/>
        <v>2.5698132602364226E-4</v>
      </c>
      <c r="AI19" s="71"/>
      <c r="AJ19" s="29"/>
    </row>
    <row r="20" spans="1:36" ht="37.5" x14ac:dyDescent="0.3">
      <c r="A20" s="85"/>
      <c r="B20" s="86"/>
      <c r="C20" s="12" t="s">
        <v>105</v>
      </c>
      <c r="D20" s="23" t="s">
        <v>87</v>
      </c>
      <c r="E20" s="106"/>
      <c r="F20" s="15"/>
      <c r="G20" s="18">
        <f t="shared" ref="G20:G22" si="21">F20*$E$19</f>
        <v>0</v>
      </c>
      <c r="H20" s="18">
        <f t="shared" ref="H20:H21" si="22">G20*AI20</f>
        <v>0</v>
      </c>
      <c r="I20" s="106"/>
      <c r="J20" s="15">
        <v>0.05</v>
      </c>
      <c r="K20" s="58">
        <f>J20*I19</f>
        <v>5.000000000000001E-3</v>
      </c>
      <c r="L20" s="58">
        <f t="shared" ref="L20:L21" si="23">K20*AI20</f>
        <v>4.000000000000001E-3</v>
      </c>
      <c r="M20" s="106"/>
      <c r="N20" s="15">
        <v>0.1</v>
      </c>
      <c r="O20" s="18">
        <f>N20*M19</f>
        <v>1.0000000000000002E-2</v>
      </c>
      <c r="P20" s="18">
        <f t="shared" ref="P20:P21" si="24">O20*AI20</f>
        <v>8.0000000000000019E-3</v>
      </c>
      <c r="Q20" s="106"/>
      <c r="R20" s="15">
        <v>0.1</v>
      </c>
      <c r="S20" s="18">
        <f>R20*Q19</f>
        <v>5.000000000000001E-3</v>
      </c>
      <c r="T20" s="18">
        <f t="shared" ref="T20:T21" si="25">S20*AI20</f>
        <v>4.000000000000001E-3</v>
      </c>
      <c r="U20" s="106"/>
      <c r="V20" s="15">
        <v>0.1</v>
      </c>
      <c r="W20" s="18">
        <f>V20*U19</f>
        <v>1.0000000000000002E-2</v>
      </c>
      <c r="X20" s="18">
        <f t="shared" ref="X20:X21" si="26">W20*AI20</f>
        <v>8.0000000000000019E-3</v>
      </c>
      <c r="Y20" s="106"/>
      <c r="Z20" s="15">
        <v>0.1</v>
      </c>
      <c r="AA20" s="18">
        <f>Z20*Y19</f>
        <v>1.0000000000000002E-2</v>
      </c>
      <c r="AB20" s="70">
        <f>AA20*AI20</f>
        <v>8.0000000000000019E-3</v>
      </c>
      <c r="AC20" s="63" t="s">
        <v>81</v>
      </c>
      <c r="AD20" s="36">
        <v>1</v>
      </c>
      <c r="AE20" s="64">
        <v>6</v>
      </c>
      <c r="AF20" s="21">
        <v>4</v>
      </c>
      <c r="AG20" s="21">
        <f t="shared" si="1"/>
        <v>24</v>
      </c>
      <c r="AH20" s="34">
        <f t="shared" si="2"/>
        <v>2.0558506081891381E-3</v>
      </c>
      <c r="AI20" s="71">
        <v>0.8</v>
      </c>
      <c r="AJ20" s="29"/>
    </row>
    <row r="21" spans="1:36" ht="37.5" x14ac:dyDescent="0.3">
      <c r="A21" s="85"/>
      <c r="B21" s="86"/>
      <c r="C21" s="12" t="s">
        <v>106</v>
      </c>
      <c r="D21" s="23" t="s">
        <v>87</v>
      </c>
      <c r="E21" s="106"/>
      <c r="F21" s="15"/>
      <c r="G21" s="18">
        <f t="shared" si="21"/>
        <v>0</v>
      </c>
      <c r="H21" s="18">
        <f t="shared" si="22"/>
        <v>0</v>
      </c>
      <c r="I21" s="106"/>
      <c r="J21" s="15">
        <v>0.05</v>
      </c>
      <c r="K21" s="58">
        <f>J21*I19</f>
        <v>5.000000000000001E-3</v>
      </c>
      <c r="L21" s="58">
        <f t="shared" si="23"/>
        <v>4.000000000000001E-3</v>
      </c>
      <c r="M21" s="106"/>
      <c r="N21" s="15">
        <v>0.1</v>
      </c>
      <c r="O21" s="18">
        <f>N21*M19</f>
        <v>1.0000000000000002E-2</v>
      </c>
      <c r="P21" s="18">
        <f t="shared" si="24"/>
        <v>8.0000000000000019E-3</v>
      </c>
      <c r="Q21" s="106"/>
      <c r="R21" s="15">
        <v>0.1</v>
      </c>
      <c r="S21" s="18">
        <f>R21*Q19</f>
        <v>5.000000000000001E-3</v>
      </c>
      <c r="T21" s="18">
        <f t="shared" si="25"/>
        <v>4.000000000000001E-3</v>
      </c>
      <c r="U21" s="106"/>
      <c r="V21" s="15">
        <v>0.1</v>
      </c>
      <c r="W21" s="18">
        <f>V21*U19</f>
        <v>1.0000000000000002E-2</v>
      </c>
      <c r="X21" s="18">
        <f t="shared" si="26"/>
        <v>8.0000000000000019E-3</v>
      </c>
      <c r="Y21" s="106"/>
      <c r="Z21" s="15">
        <v>0.1</v>
      </c>
      <c r="AA21" s="18">
        <f>Z21*Y19</f>
        <v>1.0000000000000002E-2</v>
      </c>
      <c r="AB21" s="70">
        <f>AA21*AI21</f>
        <v>8.0000000000000019E-3</v>
      </c>
      <c r="AC21" s="63" t="s">
        <v>81</v>
      </c>
      <c r="AD21" s="36">
        <v>1</v>
      </c>
      <c r="AE21" s="64">
        <v>6</v>
      </c>
      <c r="AF21" s="21">
        <v>5</v>
      </c>
      <c r="AG21" s="21">
        <f t="shared" si="1"/>
        <v>30</v>
      </c>
      <c r="AH21" s="34">
        <f t="shared" si="2"/>
        <v>2.5698132602364229E-3</v>
      </c>
      <c r="AI21" s="71">
        <v>0.8</v>
      </c>
      <c r="AJ21" s="29"/>
    </row>
    <row r="22" spans="1:36" ht="37.5" x14ac:dyDescent="0.3">
      <c r="A22" s="85"/>
      <c r="B22" s="86"/>
      <c r="C22" s="12" t="s">
        <v>107</v>
      </c>
      <c r="D22" s="18" t="s">
        <v>79</v>
      </c>
      <c r="E22" s="107"/>
      <c r="F22" s="46"/>
      <c r="G22" s="46">
        <f t="shared" si="21"/>
        <v>0</v>
      </c>
      <c r="H22" s="46"/>
      <c r="I22" s="107"/>
      <c r="J22" s="46"/>
      <c r="K22" s="46">
        <f>J22*I19</f>
        <v>0</v>
      </c>
      <c r="L22" s="46"/>
      <c r="M22" s="107"/>
      <c r="N22" s="46"/>
      <c r="O22" s="46">
        <f>N22*M19</f>
        <v>0</v>
      </c>
      <c r="P22" s="46"/>
      <c r="Q22" s="107"/>
      <c r="R22" s="46" t="s">
        <v>80</v>
      </c>
      <c r="S22" s="46" t="e">
        <f>R22*Q19</f>
        <v>#VALUE!</v>
      </c>
      <c r="T22" s="46"/>
      <c r="U22" s="107"/>
      <c r="V22" s="46" t="s">
        <v>80</v>
      </c>
      <c r="W22" s="46" t="e">
        <f>V22*U19</f>
        <v>#VALUE!</v>
      </c>
      <c r="X22" s="46"/>
      <c r="Y22" s="107"/>
      <c r="Z22" s="46" t="s">
        <v>80</v>
      </c>
      <c r="AA22" s="46" t="e">
        <f>Z22*Y19</f>
        <v>#VALUE!</v>
      </c>
      <c r="AB22" s="46"/>
      <c r="AC22" s="18" t="s">
        <v>81</v>
      </c>
      <c r="AD22" s="66">
        <v>1</v>
      </c>
      <c r="AE22" s="20">
        <v>6</v>
      </c>
      <c r="AF22" s="21">
        <v>10</v>
      </c>
      <c r="AG22" s="21">
        <f t="shared" si="1"/>
        <v>60</v>
      </c>
      <c r="AH22" s="34">
        <f t="shared" si="2"/>
        <v>5.1396265204728458E-3</v>
      </c>
      <c r="AI22" s="71"/>
      <c r="AJ22" s="29"/>
    </row>
    <row r="23" spans="1:36" ht="37.5" x14ac:dyDescent="0.3">
      <c r="A23" s="85">
        <v>6</v>
      </c>
      <c r="B23" s="86" t="s">
        <v>25</v>
      </c>
      <c r="C23" s="10" t="s">
        <v>108</v>
      </c>
      <c r="D23" s="18" t="s">
        <v>79</v>
      </c>
      <c r="E23" s="104"/>
      <c r="F23" s="55"/>
      <c r="G23" s="55">
        <f>F23*$E$23</f>
        <v>0</v>
      </c>
      <c r="H23" s="55"/>
      <c r="I23" s="104"/>
      <c r="J23" s="55"/>
      <c r="K23" s="55">
        <f>J23*I23</f>
        <v>0</v>
      </c>
      <c r="L23" s="55"/>
      <c r="M23" s="104"/>
      <c r="N23" s="55"/>
      <c r="O23" s="55">
        <f>N23*M23</f>
        <v>0</v>
      </c>
      <c r="P23" s="55"/>
      <c r="Q23" s="104">
        <v>0.05</v>
      </c>
      <c r="R23" s="55" t="s">
        <v>80</v>
      </c>
      <c r="S23" s="55" t="e">
        <f>R23*Q23</f>
        <v>#VALUE!</v>
      </c>
      <c r="T23" s="55"/>
      <c r="U23" s="104">
        <v>0</v>
      </c>
      <c r="V23" s="55" t="s">
        <v>80</v>
      </c>
      <c r="W23" s="55" t="e">
        <f>V23*U23</f>
        <v>#VALUE!</v>
      </c>
      <c r="X23" s="55"/>
      <c r="Y23" s="104"/>
      <c r="Z23" s="55" t="s">
        <v>80</v>
      </c>
      <c r="AA23" s="55" t="e">
        <f>Z23*Y23</f>
        <v>#VALUE!</v>
      </c>
      <c r="AB23" s="55"/>
      <c r="AC23" s="18" t="s">
        <v>81</v>
      </c>
      <c r="AD23" s="65">
        <v>1</v>
      </c>
      <c r="AE23" s="20">
        <v>1</v>
      </c>
      <c r="AF23" s="21">
        <v>5</v>
      </c>
      <c r="AG23" s="21">
        <f t="shared" si="1"/>
        <v>5</v>
      </c>
      <c r="AH23" s="34">
        <f t="shared" si="2"/>
        <v>4.2830221003940382E-4</v>
      </c>
      <c r="AI23" s="71"/>
      <c r="AJ23" s="29"/>
    </row>
    <row r="24" spans="1:36" ht="37.5" x14ac:dyDescent="0.3">
      <c r="A24" s="85"/>
      <c r="B24" s="86"/>
      <c r="C24" s="10" t="s">
        <v>109</v>
      </c>
      <c r="D24" s="23" t="s">
        <v>87</v>
      </c>
      <c r="E24" s="106"/>
      <c r="F24" s="15"/>
      <c r="G24" s="18">
        <f t="shared" ref="G24:G26" si="27">F24*$E$23</f>
        <v>0</v>
      </c>
      <c r="H24" s="18">
        <f t="shared" ref="H24:H25" si="28">G24*AI24</f>
        <v>0</v>
      </c>
      <c r="I24" s="106"/>
      <c r="J24" s="15"/>
      <c r="K24" s="58">
        <f>J24*I23</f>
        <v>0</v>
      </c>
      <c r="L24" s="58">
        <f t="shared" ref="L24:L25" si="29">K24*AI24</f>
        <v>0</v>
      </c>
      <c r="M24" s="106"/>
      <c r="N24" s="15"/>
      <c r="O24" s="18">
        <f>N24*M23</f>
        <v>0</v>
      </c>
      <c r="P24" s="18">
        <f t="shared" ref="P24:P25" si="30">O24*AI24</f>
        <v>0</v>
      </c>
      <c r="Q24" s="106"/>
      <c r="R24" s="15">
        <v>0.1</v>
      </c>
      <c r="S24" s="18">
        <f>R24*Q23</f>
        <v>5.000000000000001E-3</v>
      </c>
      <c r="T24" s="18">
        <f t="shared" ref="T24:T25" si="31">S24*AI24</f>
        <v>3.5000000000000005E-3</v>
      </c>
      <c r="U24" s="106"/>
      <c r="V24" s="15"/>
      <c r="W24" s="18">
        <f>V24*U23</f>
        <v>0</v>
      </c>
      <c r="X24" s="18">
        <f t="shared" ref="X24:X25" si="32">W24*AI24</f>
        <v>0</v>
      </c>
      <c r="Y24" s="106"/>
      <c r="Z24" s="15"/>
      <c r="AA24" s="18">
        <f>Z24*Y23</f>
        <v>0</v>
      </c>
      <c r="AB24" s="70">
        <f>AA24*AI24</f>
        <v>0</v>
      </c>
      <c r="AC24" s="63" t="s">
        <v>81</v>
      </c>
      <c r="AD24" s="36">
        <v>1</v>
      </c>
      <c r="AE24" s="64">
        <v>3</v>
      </c>
      <c r="AF24" s="21">
        <v>5</v>
      </c>
      <c r="AG24" s="21">
        <f t="shared" si="1"/>
        <v>15</v>
      </c>
      <c r="AH24" s="34">
        <f t="shared" si="2"/>
        <v>1.2849066301182115E-3</v>
      </c>
      <c r="AI24" s="71">
        <v>0.7</v>
      </c>
      <c r="AJ24" s="29"/>
    </row>
    <row r="25" spans="1:36" ht="37.5" x14ac:dyDescent="0.3">
      <c r="A25" s="85"/>
      <c r="B25" s="86"/>
      <c r="C25" s="10" t="s">
        <v>110</v>
      </c>
      <c r="D25" s="23" t="s">
        <v>87</v>
      </c>
      <c r="E25" s="106"/>
      <c r="F25" s="15"/>
      <c r="G25" s="18">
        <f t="shared" si="27"/>
        <v>0</v>
      </c>
      <c r="H25" s="18">
        <f t="shared" si="28"/>
        <v>0</v>
      </c>
      <c r="I25" s="106"/>
      <c r="J25" s="15"/>
      <c r="K25" s="58">
        <f>J25*I23</f>
        <v>0</v>
      </c>
      <c r="L25" s="58">
        <f t="shared" si="29"/>
        <v>0</v>
      </c>
      <c r="M25" s="106"/>
      <c r="N25" s="15"/>
      <c r="O25" s="18">
        <f>N25*M23</f>
        <v>0</v>
      </c>
      <c r="P25" s="18">
        <f t="shared" si="30"/>
        <v>0</v>
      </c>
      <c r="Q25" s="106"/>
      <c r="R25" s="15">
        <v>0.1</v>
      </c>
      <c r="S25" s="18">
        <f>R25*Q23</f>
        <v>5.000000000000001E-3</v>
      </c>
      <c r="T25" s="18">
        <f t="shared" si="31"/>
        <v>3.5000000000000005E-3</v>
      </c>
      <c r="U25" s="106"/>
      <c r="V25" s="15"/>
      <c r="W25" s="18">
        <f>V25*U23</f>
        <v>0</v>
      </c>
      <c r="X25" s="18">
        <f t="shared" si="32"/>
        <v>0</v>
      </c>
      <c r="Y25" s="106"/>
      <c r="Z25" s="15"/>
      <c r="AA25" s="18">
        <f>Z25*Y23</f>
        <v>0</v>
      </c>
      <c r="AB25" s="70">
        <f>AA25*AI25</f>
        <v>0</v>
      </c>
      <c r="AC25" s="63" t="s">
        <v>81</v>
      </c>
      <c r="AD25" s="36">
        <v>1</v>
      </c>
      <c r="AE25" s="64">
        <v>3</v>
      </c>
      <c r="AF25" s="21">
        <v>5</v>
      </c>
      <c r="AG25" s="21">
        <f t="shared" si="1"/>
        <v>15</v>
      </c>
      <c r="AH25" s="34">
        <f t="shared" si="2"/>
        <v>1.2849066301182115E-3</v>
      </c>
      <c r="AI25" s="71">
        <v>0.7</v>
      </c>
      <c r="AJ25" s="29"/>
    </row>
    <row r="26" spans="1:36" ht="37.5" x14ac:dyDescent="0.3">
      <c r="A26" s="85"/>
      <c r="B26" s="86"/>
      <c r="C26" s="10" t="s">
        <v>111</v>
      </c>
      <c r="D26" s="18" t="s">
        <v>79</v>
      </c>
      <c r="E26" s="105"/>
      <c r="F26" s="46"/>
      <c r="G26" s="46">
        <f t="shared" si="27"/>
        <v>0</v>
      </c>
      <c r="H26" s="46"/>
      <c r="I26" s="107"/>
      <c r="J26" s="46"/>
      <c r="K26" s="46">
        <f>J26*I23</f>
        <v>0</v>
      </c>
      <c r="L26" s="46"/>
      <c r="M26" s="107"/>
      <c r="N26" s="46"/>
      <c r="O26" s="46">
        <f>N26*M23</f>
        <v>0</v>
      </c>
      <c r="P26" s="46"/>
      <c r="Q26" s="107"/>
      <c r="R26" s="46" t="s">
        <v>80</v>
      </c>
      <c r="S26" s="46" t="e">
        <f>R26*Q23</f>
        <v>#VALUE!</v>
      </c>
      <c r="T26" s="46"/>
      <c r="U26" s="107"/>
      <c r="V26" s="46" t="s">
        <v>80</v>
      </c>
      <c r="W26" s="46" t="e">
        <f>V26*U23</f>
        <v>#VALUE!</v>
      </c>
      <c r="X26" s="46"/>
      <c r="Y26" s="107"/>
      <c r="Z26" s="46" t="s">
        <v>80</v>
      </c>
      <c r="AA26" s="46" t="e">
        <f>Z26*Y23</f>
        <v>#VALUE!</v>
      </c>
      <c r="AB26" s="46"/>
      <c r="AC26" s="18" t="s">
        <v>112</v>
      </c>
      <c r="AD26" s="66">
        <v>1</v>
      </c>
      <c r="AE26" s="20">
        <v>3</v>
      </c>
      <c r="AF26" s="21">
        <v>5</v>
      </c>
      <c r="AG26" s="21">
        <f t="shared" si="1"/>
        <v>15</v>
      </c>
      <c r="AH26" s="34">
        <f t="shared" si="2"/>
        <v>1.2849066301182115E-3</v>
      </c>
      <c r="AI26" s="71"/>
      <c r="AJ26" s="29"/>
    </row>
    <row r="27" spans="1:36" ht="37.5" x14ac:dyDescent="0.3">
      <c r="A27" s="85">
        <v>7</v>
      </c>
      <c r="B27" s="85" t="s">
        <v>30</v>
      </c>
      <c r="C27" s="10" t="s">
        <v>113</v>
      </c>
      <c r="D27" s="58" t="s">
        <v>79</v>
      </c>
      <c r="E27" s="104"/>
      <c r="F27" s="60"/>
      <c r="G27" s="55">
        <f>F27*$E$27</f>
        <v>0</v>
      </c>
      <c r="H27" s="55"/>
      <c r="I27" s="104"/>
      <c r="J27" s="55"/>
      <c r="K27" s="55">
        <f>J27*I27</f>
        <v>0</v>
      </c>
      <c r="L27" s="55"/>
      <c r="M27" s="104"/>
      <c r="N27" s="55"/>
      <c r="O27" s="55">
        <f>N27*M27</f>
        <v>0</v>
      </c>
      <c r="P27" s="55"/>
      <c r="Q27" s="104">
        <v>0.05</v>
      </c>
      <c r="R27" s="55" t="s">
        <v>80</v>
      </c>
      <c r="S27" s="55" t="e">
        <f>R27*Q27</f>
        <v>#VALUE!</v>
      </c>
      <c r="T27" s="55"/>
      <c r="U27" s="104">
        <v>0.1</v>
      </c>
      <c r="V27" s="55" t="s">
        <v>80</v>
      </c>
      <c r="W27" s="55" t="e">
        <f>V27*U27</f>
        <v>#VALUE!</v>
      </c>
      <c r="X27" s="55"/>
      <c r="Y27" s="104">
        <v>0.1</v>
      </c>
      <c r="Z27" s="55" t="s">
        <v>80</v>
      </c>
      <c r="AA27" s="55" t="e">
        <f>Z27*Y27</f>
        <v>#VALUE!</v>
      </c>
      <c r="AB27" s="55"/>
      <c r="AC27" s="18" t="s">
        <v>112</v>
      </c>
      <c r="AD27" s="65">
        <v>1</v>
      </c>
      <c r="AE27" s="20">
        <v>1</v>
      </c>
      <c r="AF27" s="21">
        <v>5</v>
      </c>
      <c r="AG27" s="21">
        <f t="shared" si="1"/>
        <v>5</v>
      </c>
      <c r="AH27" s="34">
        <f t="shared" si="2"/>
        <v>4.2830221003940382E-4</v>
      </c>
      <c r="AI27" s="71"/>
      <c r="AJ27" s="29"/>
    </row>
    <row r="28" spans="1:36" ht="37.5" x14ac:dyDescent="0.3">
      <c r="A28" s="85"/>
      <c r="B28" s="85"/>
      <c r="C28" s="16" t="s">
        <v>114</v>
      </c>
      <c r="D28" s="23" t="s">
        <v>87</v>
      </c>
      <c r="E28" s="106"/>
      <c r="F28" s="15"/>
      <c r="G28" s="18">
        <f t="shared" ref="G28:G30" si="33">F28*$E$27</f>
        <v>0</v>
      </c>
      <c r="H28" s="18">
        <f t="shared" ref="H28:H29" si="34">G28*AI28</f>
        <v>0</v>
      </c>
      <c r="I28" s="106"/>
      <c r="J28" s="15"/>
      <c r="K28" s="58">
        <f>J28*I27</f>
        <v>0</v>
      </c>
      <c r="L28" s="58">
        <f t="shared" ref="L28:L29" si="35">K28*AI28</f>
        <v>0</v>
      </c>
      <c r="M28" s="106"/>
      <c r="N28" s="15"/>
      <c r="O28" s="18">
        <f>N28*M27</f>
        <v>0</v>
      </c>
      <c r="P28" s="18">
        <f t="shared" ref="P28:P29" si="36">O28*AI28</f>
        <v>0</v>
      </c>
      <c r="Q28" s="106"/>
      <c r="R28" s="15">
        <v>0.1</v>
      </c>
      <c r="S28" s="18">
        <f>R28*Q27</f>
        <v>5.000000000000001E-3</v>
      </c>
      <c r="T28" s="18">
        <f t="shared" ref="T28:T29" si="37">S28*AI28</f>
        <v>3.5000000000000005E-3</v>
      </c>
      <c r="U28" s="106"/>
      <c r="V28" s="15">
        <v>0.1</v>
      </c>
      <c r="W28" s="18">
        <f>V28*U27</f>
        <v>1.0000000000000002E-2</v>
      </c>
      <c r="X28" s="18">
        <f t="shared" ref="X28:X29" si="38">W28*AI28</f>
        <v>7.000000000000001E-3</v>
      </c>
      <c r="Y28" s="106"/>
      <c r="Z28" s="15">
        <v>0.1</v>
      </c>
      <c r="AA28" s="18">
        <f>Z28*Y27</f>
        <v>1.0000000000000002E-2</v>
      </c>
      <c r="AB28" s="70">
        <f>AA28*AI28</f>
        <v>7.000000000000001E-3</v>
      </c>
      <c r="AC28" s="63" t="s">
        <v>112</v>
      </c>
      <c r="AD28" s="36">
        <v>1</v>
      </c>
      <c r="AE28" s="64">
        <v>3</v>
      </c>
      <c r="AF28" s="21">
        <v>1</v>
      </c>
      <c r="AG28" s="21">
        <f t="shared" si="1"/>
        <v>3</v>
      </c>
      <c r="AH28" s="34">
        <f t="shared" si="2"/>
        <v>2.5698132602364226E-4</v>
      </c>
      <c r="AI28" s="71">
        <v>0.7</v>
      </c>
      <c r="AJ28" s="29"/>
    </row>
    <row r="29" spans="1:36" ht="37.5" x14ac:dyDescent="0.3">
      <c r="A29" s="85"/>
      <c r="B29" s="85"/>
      <c r="C29" s="16" t="s">
        <v>115</v>
      </c>
      <c r="D29" s="23" t="s">
        <v>87</v>
      </c>
      <c r="E29" s="106"/>
      <c r="F29" s="15"/>
      <c r="G29" s="18">
        <f t="shared" si="33"/>
        <v>0</v>
      </c>
      <c r="H29" s="18">
        <f t="shared" si="34"/>
        <v>0</v>
      </c>
      <c r="I29" s="106"/>
      <c r="J29" s="15"/>
      <c r="K29" s="58">
        <f>J29*I27</f>
        <v>0</v>
      </c>
      <c r="L29" s="58">
        <f t="shared" si="35"/>
        <v>0</v>
      </c>
      <c r="M29" s="106"/>
      <c r="N29" s="15"/>
      <c r="O29" s="18">
        <f>N29*M27</f>
        <v>0</v>
      </c>
      <c r="P29" s="18">
        <f t="shared" si="36"/>
        <v>0</v>
      </c>
      <c r="Q29" s="106"/>
      <c r="R29" s="15">
        <v>0.1</v>
      </c>
      <c r="S29" s="18">
        <f>R29*Q27</f>
        <v>5.000000000000001E-3</v>
      </c>
      <c r="T29" s="18">
        <f t="shared" si="37"/>
        <v>3.5000000000000005E-3</v>
      </c>
      <c r="U29" s="106"/>
      <c r="V29" s="15">
        <v>0.1</v>
      </c>
      <c r="W29" s="18">
        <f>V29*U27</f>
        <v>1.0000000000000002E-2</v>
      </c>
      <c r="X29" s="18">
        <f t="shared" si="38"/>
        <v>7.000000000000001E-3</v>
      </c>
      <c r="Y29" s="106"/>
      <c r="Z29" s="15">
        <v>0.1</v>
      </c>
      <c r="AA29" s="18">
        <f>Z29*Y27</f>
        <v>1.0000000000000002E-2</v>
      </c>
      <c r="AB29" s="70">
        <f>AA29*AI29</f>
        <v>7.000000000000001E-3</v>
      </c>
      <c r="AC29" s="63" t="s">
        <v>112</v>
      </c>
      <c r="AD29" s="36">
        <v>1</v>
      </c>
      <c r="AE29" s="64">
        <v>3</v>
      </c>
      <c r="AF29" s="21">
        <v>4</v>
      </c>
      <c r="AG29" s="21">
        <f t="shared" si="1"/>
        <v>12</v>
      </c>
      <c r="AH29" s="34">
        <f t="shared" si="2"/>
        <v>1.027925304094569E-3</v>
      </c>
      <c r="AI29" s="71">
        <v>0.7</v>
      </c>
      <c r="AJ29" s="29"/>
    </row>
    <row r="30" spans="1:36" ht="37.5" x14ac:dyDescent="0.3">
      <c r="A30" s="85"/>
      <c r="B30" s="85"/>
      <c r="C30" s="16" t="s">
        <v>116</v>
      </c>
      <c r="D30" s="58" t="s">
        <v>79</v>
      </c>
      <c r="E30" s="107"/>
      <c r="F30" s="61"/>
      <c r="G30" s="46">
        <f t="shared" si="33"/>
        <v>0</v>
      </c>
      <c r="H30" s="46"/>
      <c r="I30" s="107"/>
      <c r="J30" s="46"/>
      <c r="K30" s="46">
        <f>J30*I27</f>
        <v>0</v>
      </c>
      <c r="L30" s="46"/>
      <c r="M30" s="107"/>
      <c r="N30" s="46"/>
      <c r="O30" s="46">
        <f>N30*M27</f>
        <v>0</v>
      </c>
      <c r="P30" s="46"/>
      <c r="Q30" s="107"/>
      <c r="R30" s="46" t="s">
        <v>80</v>
      </c>
      <c r="S30" s="46" t="e">
        <f>R30*Q27</f>
        <v>#VALUE!</v>
      </c>
      <c r="T30" s="46"/>
      <c r="U30" s="107"/>
      <c r="V30" s="46" t="s">
        <v>80</v>
      </c>
      <c r="W30" s="46" t="e">
        <f>V30*U27</f>
        <v>#VALUE!</v>
      </c>
      <c r="X30" s="46"/>
      <c r="Y30" s="107"/>
      <c r="Z30" s="46" t="s">
        <v>80</v>
      </c>
      <c r="AA30" s="46" t="e">
        <f>Z30*Y27</f>
        <v>#VALUE!</v>
      </c>
      <c r="AB30" s="46"/>
      <c r="AC30" s="18" t="s">
        <v>112</v>
      </c>
      <c r="AD30" s="66">
        <v>1</v>
      </c>
      <c r="AE30" s="20">
        <v>3</v>
      </c>
      <c r="AF30" s="21">
        <v>10</v>
      </c>
      <c r="AG30" s="21">
        <f t="shared" si="1"/>
        <v>30</v>
      </c>
      <c r="AH30" s="34">
        <f t="shared" si="2"/>
        <v>2.5698132602364229E-3</v>
      </c>
      <c r="AI30" s="22"/>
      <c r="AJ30" s="29"/>
    </row>
    <row r="31" spans="1:36" ht="37.5" x14ac:dyDescent="0.3">
      <c r="A31" s="85">
        <v>8</v>
      </c>
      <c r="B31" s="85" t="s">
        <v>35</v>
      </c>
      <c r="C31" s="14" t="s">
        <v>117</v>
      </c>
      <c r="D31" s="58" t="s">
        <v>79</v>
      </c>
      <c r="E31" s="104">
        <v>0.15</v>
      </c>
      <c r="F31" s="60">
        <v>0.2</v>
      </c>
      <c r="G31" s="55">
        <f>F31*$E$31</f>
        <v>0.03</v>
      </c>
      <c r="H31" s="55"/>
      <c r="I31" s="104">
        <v>0.1</v>
      </c>
      <c r="J31" s="55" t="s">
        <v>80</v>
      </c>
      <c r="K31" s="55" t="e">
        <f>J31*I31</f>
        <v>#VALUE!</v>
      </c>
      <c r="L31" s="55"/>
      <c r="M31" s="104">
        <v>0.1</v>
      </c>
      <c r="N31" s="55" t="s">
        <v>80</v>
      </c>
      <c r="O31" s="55" t="e">
        <f>N31*M31</f>
        <v>#VALUE!</v>
      </c>
      <c r="P31" s="55"/>
      <c r="Q31" s="104">
        <v>0.1</v>
      </c>
      <c r="R31" s="55"/>
      <c r="S31" s="55">
        <f>R31*Q31</f>
        <v>0</v>
      </c>
      <c r="T31" s="55"/>
      <c r="U31" s="104"/>
      <c r="V31" s="55"/>
      <c r="W31" s="55">
        <f>V31*U31</f>
        <v>0</v>
      </c>
      <c r="X31" s="55"/>
      <c r="Y31" s="104"/>
      <c r="Z31" s="55"/>
      <c r="AA31" s="55">
        <f>Z31*Y31</f>
        <v>0</v>
      </c>
      <c r="AB31" s="55"/>
      <c r="AC31" s="18" t="s">
        <v>100</v>
      </c>
      <c r="AD31" s="65">
        <v>1</v>
      </c>
      <c r="AE31" s="20">
        <v>1</v>
      </c>
      <c r="AF31" s="21">
        <v>10</v>
      </c>
      <c r="AG31" s="21">
        <f t="shared" si="1"/>
        <v>10</v>
      </c>
      <c r="AH31" s="34">
        <f t="shared" si="2"/>
        <v>8.5660442007880764E-4</v>
      </c>
      <c r="AI31" s="22"/>
      <c r="AJ31" s="29"/>
    </row>
    <row r="32" spans="1:36" ht="56.25" x14ac:dyDescent="0.3">
      <c r="A32" s="85"/>
      <c r="B32" s="85"/>
      <c r="C32" s="10" t="s">
        <v>118</v>
      </c>
      <c r="D32" s="23" t="s">
        <v>87</v>
      </c>
      <c r="E32" s="106"/>
      <c r="F32" s="15">
        <v>0.1</v>
      </c>
      <c r="G32" s="18">
        <f t="shared" ref="G32:G36" si="39">F32*$E$31</f>
        <v>1.4999999999999999E-2</v>
      </c>
      <c r="H32" s="18">
        <f>G32*AI32</f>
        <v>1.0499999999999999E-2</v>
      </c>
      <c r="I32" s="106"/>
      <c r="J32" s="15">
        <v>0.05</v>
      </c>
      <c r="K32" s="58">
        <f>J32*I31</f>
        <v>5.000000000000001E-3</v>
      </c>
      <c r="L32" s="58">
        <f>K32*AI32</f>
        <v>3.5000000000000005E-3</v>
      </c>
      <c r="M32" s="106"/>
      <c r="N32" s="15">
        <v>0.1</v>
      </c>
      <c r="O32" s="18">
        <f>N32*M31</f>
        <v>1.0000000000000002E-2</v>
      </c>
      <c r="P32" s="18">
        <f>O32*AI32</f>
        <v>7.000000000000001E-3</v>
      </c>
      <c r="Q32" s="106"/>
      <c r="R32" s="15">
        <v>0.1</v>
      </c>
      <c r="S32" s="18">
        <f>R32*Q31</f>
        <v>1.0000000000000002E-2</v>
      </c>
      <c r="T32" s="18">
        <f>S32*AI32</f>
        <v>7.000000000000001E-3</v>
      </c>
      <c r="U32" s="106"/>
      <c r="V32" s="15"/>
      <c r="W32" s="18">
        <f>V32*U31</f>
        <v>0</v>
      </c>
      <c r="X32" s="18">
        <f>W32*AI32</f>
        <v>0</v>
      </c>
      <c r="Y32" s="106"/>
      <c r="Z32" s="15"/>
      <c r="AA32" s="18">
        <f>Z32*Y31</f>
        <v>0</v>
      </c>
      <c r="AB32" s="70">
        <f>AA32*AI32</f>
        <v>0</v>
      </c>
      <c r="AC32" s="63" t="s">
        <v>100</v>
      </c>
      <c r="AD32" s="36">
        <v>1</v>
      </c>
      <c r="AE32" s="64">
        <v>3</v>
      </c>
      <c r="AF32" s="21">
        <v>3</v>
      </c>
      <c r="AG32" s="21">
        <f t="shared" si="1"/>
        <v>9</v>
      </c>
      <c r="AH32" s="34">
        <f t="shared" si="2"/>
        <v>7.7094397807092683E-4</v>
      </c>
      <c r="AI32" s="71">
        <v>0.7</v>
      </c>
      <c r="AJ32" s="29"/>
    </row>
    <row r="33" spans="1:36" ht="37.5" x14ac:dyDescent="0.3">
      <c r="A33" s="85"/>
      <c r="B33" s="85"/>
      <c r="C33" s="10" t="s">
        <v>119</v>
      </c>
      <c r="D33" s="58" t="s">
        <v>79</v>
      </c>
      <c r="E33" s="107"/>
      <c r="F33" s="61">
        <v>0.1</v>
      </c>
      <c r="G33" s="46">
        <f t="shared" si="39"/>
        <v>1.4999999999999999E-2</v>
      </c>
      <c r="H33" s="56"/>
      <c r="I33" s="105"/>
      <c r="J33" s="46" t="s">
        <v>80</v>
      </c>
      <c r="K33" s="46" t="e">
        <f>J33*I31</f>
        <v>#VALUE!</v>
      </c>
      <c r="L33" s="56"/>
      <c r="M33" s="105"/>
      <c r="N33" s="46" t="s">
        <v>80</v>
      </c>
      <c r="O33" s="46" t="e">
        <f>N33*M31</f>
        <v>#VALUE!</v>
      </c>
      <c r="P33" s="56"/>
      <c r="Q33" s="105"/>
      <c r="R33" s="46"/>
      <c r="S33" s="46">
        <f>R33*Q31</f>
        <v>0</v>
      </c>
      <c r="T33" s="56"/>
      <c r="U33" s="105"/>
      <c r="V33" s="46"/>
      <c r="W33" s="46">
        <f>V33*U31</f>
        <v>0</v>
      </c>
      <c r="X33" s="56"/>
      <c r="Y33" s="105"/>
      <c r="Z33" s="46"/>
      <c r="AA33" s="46">
        <f>Z33*Y31</f>
        <v>0</v>
      </c>
      <c r="AB33" s="46"/>
      <c r="AC33" s="18" t="s">
        <v>100</v>
      </c>
      <c r="AD33" s="66">
        <v>1</v>
      </c>
      <c r="AE33" s="20">
        <v>3</v>
      </c>
      <c r="AF33" s="21">
        <v>2</v>
      </c>
      <c r="AG33" s="21">
        <f t="shared" si="1"/>
        <v>6</v>
      </c>
      <c r="AH33" s="34">
        <f t="shared" si="2"/>
        <v>5.1396265204728452E-4</v>
      </c>
      <c r="AI33" s="71">
        <v>0.7</v>
      </c>
      <c r="AJ33" s="29"/>
    </row>
    <row r="34" spans="1:36" ht="18" customHeight="1" x14ac:dyDescent="0.3">
      <c r="A34" s="85"/>
      <c r="B34" s="85"/>
      <c r="C34" s="10" t="s">
        <v>120</v>
      </c>
      <c r="D34" s="58" t="s">
        <v>79</v>
      </c>
      <c r="E34" s="104"/>
      <c r="F34" s="60">
        <v>0.2</v>
      </c>
      <c r="G34" s="55">
        <f t="shared" si="39"/>
        <v>0.03</v>
      </c>
      <c r="H34" s="56"/>
      <c r="I34" s="105"/>
      <c r="J34" s="55" t="s">
        <v>80</v>
      </c>
      <c r="K34" s="55" t="e">
        <f>J34*I31</f>
        <v>#VALUE!</v>
      </c>
      <c r="L34" s="56"/>
      <c r="M34" s="105"/>
      <c r="N34" s="55" t="s">
        <v>80</v>
      </c>
      <c r="O34" s="55" t="e">
        <f>N34*M31</f>
        <v>#VALUE!</v>
      </c>
      <c r="P34" s="56"/>
      <c r="Q34" s="105"/>
      <c r="R34" s="55"/>
      <c r="S34" s="55">
        <f>R34*Q31</f>
        <v>0</v>
      </c>
      <c r="T34" s="56"/>
      <c r="U34" s="105"/>
      <c r="V34" s="55"/>
      <c r="W34" s="55">
        <f>V34*U31</f>
        <v>0</v>
      </c>
      <c r="X34" s="56"/>
      <c r="Y34" s="105"/>
      <c r="Z34" s="55"/>
      <c r="AA34" s="55">
        <f>Z34*Y31</f>
        <v>0</v>
      </c>
      <c r="AB34" s="55"/>
      <c r="AC34" s="18" t="s">
        <v>100</v>
      </c>
      <c r="AD34" s="65">
        <v>1</v>
      </c>
      <c r="AE34" s="20">
        <v>3</v>
      </c>
      <c r="AF34" s="21">
        <v>5</v>
      </c>
      <c r="AG34" s="21">
        <f t="shared" si="1"/>
        <v>15</v>
      </c>
      <c r="AH34" s="34">
        <f t="shared" si="2"/>
        <v>1.2849066301182115E-3</v>
      </c>
      <c r="AI34" s="71">
        <v>0.7</v>
      </c>
      <c r="AJ34" s="29"/>
    </row>
    <row r="35" spans="1:36" ht="37.5" x14ac:dyDescent="0.3">
      <c r="A35" s="85"/>
      <c r="B35" s="85"/>
      <c r="C35" s="10" t="s">
        <v>121</v>
      </c>
      <c r="D35" s="23" t="s">
        <v>87</v>
      </c>
      <c r="E35" s="106"/>
      <c r="F35" s="15">
        <v>0.2</v>
      </c>
      <c r="G35" s="18">
        <f t="shared" si="39"/>
        <v>0.03</v>
      </c>
      <c r="H35" s="18">
        <f>G35*AI35</f>
        <v>2.0999999999999998E-2</v>
      </c>
      <c r="I35" s="106"/>
      <c r="J35" s="15">
        <v>0.05</v>
      </c>
      <c r="K35" s="58">
        <f>J35*I31</f>
        <v>5.000000000000001E-3</v>
      </c>
      <c r="L35" s="58">
        <f>K35*AI35</f>
        <v>3.5000000000000005E-3</v>
      </c>
      <c r="M35" s="106"/>
      <c r="N35" s="15">
        <v>0.1</v>
      </c>
      <c r="O35" s="18">
        <f>N35*M31</f>
        <v>1.0000000000000002E-2</v>
      </c>
      <c r="P35" s="18">
        <f>O35*AI35</f>
        <v>7.000000000000001E-3</v>
      </c>
      <c r="Q35" s="106"/>
      <c r="R35" s="15">
        <v>0.1</v>
      </c>
      <c r="S35" s="18">
        <f>R35*Q31</f>
        <v>1.0000000000000002E-2</v>
      </c>
      <c r="T35" s="18">
        <f>S35*AI35</f>
        <v>7.000000000000001E-3</v>
      </c>
      <c r="U35" s="106"/>
      <c r="V35" s="15"/>
      <c r="W35" s="18">
        <f>V35*U31</f>
        <v>0</v>
      </c>
      <c r="X35" s="18">
        <f>W35*AI35</f>
        <v>0</v>
      </c>
      <c r="Y35" s="106"/>
      <c r="Z35" s="15"/>
      <c r="AA35" s="18">
        <f>Z35*Y31</f>
        <v>0</v>
      </c>
      <c r="AB35" s="70">
        <f>AA35*AI35</f>
        <v>0</v>
      </c>
      <c r="AC35" s="63" t="s">
        <v>100</v>
      </c>
      <c r="AD35" s="36">
        <v>1</v>
      </c>
      <c r="AE35" s="64">
        <v>3</v>
      </c>
      <c r="AF35" s="21">
        <v>5</v>
      </c>
      <c r="AG35" s="21">
        <f t="shared" si="1"/>
        <v>15</v>
      </c>
      <c r="AH35" s="34">
        <f t="shared" si="2"/>
        <v>1.2849066301182115E-3</v>
      </c>
      <c r="AI35" s="71">
        <v>0.7</v>
      </c>
      <c r="AJ35" s="29"/>
    </row>
    <row r="36" spans="1:36" ht="37.5" x14ac:dyDescent="0.3">
      <c r="A36" s="85"/>
      <c r="B36" s="85"/>
      <c r="C36" s="10" t="s">
        <v>122</v>
      </c>
      <c r="D36" s="58" t="s">
        <v>79</v>
      </c>
      <c r="E36" s="105"/>
      <c r="F36" s="62">
        <v>0.2</v>
      </c>
      <c r="G36" s="56">
        <f t="shared" si="39"/>
        <v>0.03</v>
      </c>
      <c r="H36" s="56"/>
      <c r="I36" s="105"/>
      <c r="J36" s="56" t="s">
        <v>80</v>
      </c>
      <c r="K36" s="56" t="e">
        <f>J36*I31</f>
        <v>#VALUE!</v>
      </c>
      <c r="L36" s="56"/>
      <c r="M36" s="105"/>
      <c r="N36" s="56" t="s">
        <v>80</v>
      </c>
      <c r="O36" s="56" t="e">
        <f>N36*M31</f>
        <v>#VALUE!</v>
      </c>
      <c r="P36" s="56"/>
      <c r="Q36" s="105"/>
      <c r="R36" s="56"/>
      <c r="S36" s="56">
        <f>R36*Q31</f>
        <v>0</v>
      </c>
      <c r="T36" s="56"/>
      <c r="U36" s="105"/>
      <c r="V36" s="56"/>
      <c r="W36" s="56">
        <f>V36*U31</f>
        <v>0</v>
      </c>
      <c r="X36" s="56"/>
      <c r="Y36" s="105"/>
      <c r="Z36" s="56"/>
      <c r="AA36" s="56">
        <f>Z36*Y31</f>
        <v>0</v>
      </c>
      <c r="AB36" s="56"/>
      <c r="AC36" s="18" t="s">
        <v>100</v>
      </c>
      <c r="AD36" s="67">
        <v>1</v>
      </c>
      <c r="AE36" s="20">
        <v>3</v>
      </c>
      <c r="AF36" s="21">
        <v>5</v>
      </c>
      <c r="AG36" s="21">
        <f t="shared" si="1"/>
        <v>15</v>
      </c>
      <c r="AH36" s="34">
        <f t="shared" si="2"/>
        <v>1.2849066301182115E-3</v>
      </c>
      <c r="AI36" s="71">
        <v>0.7</v>
      </c>
      <c r="AJ36" s="29"/>
    </row>
    <row r="37" spans="1:36" ht="75" x14ac:dyDescent="0.3">
      <c r="A37" s="7">
        <v>9</v>
      </c>
      <c r="B37" s="13" t="s">
        <v>40</v>
      </c>
      <c r="C37" s="14" t="s">
        <v>123</v>
      </c>
      <c r="D37" s="23" t="s">
        <v>87</v>
      </c>
      <c r="E37" s="15">
        <v>0.01</v>
      </c>
      <c r="F37" s="15">
        <v>1</v>
      </c>
      <c r="G37" s="18">
        <f>F37*$E$37</f>
        <v>0.01</v>
      </c>
      <c r="H37" s="18">
        <f>G37*AI37</f>
        <v>6.8000000000000005E-3</v>
      </c>
      <c r="I37" s="15">
        <v>0.2</v>
      </c>
      <c r="J37" s="15">
        <v>1</v>
      </c>
      <c r="K37" s="58">
        <f>J37*I37</f>
        <v>0.2</v>
      </c>
      <c r="L37" s="58">
        <f>K37*AI37</f>
        <v>0.13600000000000001</v>
      </c>
      <c r="M37" s="15">
        <v>0.2</v>
      </c>
      <c r="N37" s="15">
        <v>1</v>
      </c>
      <c r="O37" s="18">
        <f>N37*M37</f>
        <v>0.2</v>
      </c>
      <c r="P37" s="18">
        <f>O37*AI37</f>
        <v>0.13600000000000001</v>
      </c>
      <c r="Q37" s="15">
        <v>0.2</v>
      </c>
      <c r="R37" s="15">
        <v>1</v>
      </c>
      <c r="S37" s="18">
        <f>R37*Q37</f>
        <v>0.2</v>
      </c>
      <c r="T37" s="18">
        <f>S37*AI37</f>
        <v>0.13600000000000001</v>
      </c>
      <c r="U37" s="15">
        <v>0.2</v>
      </c>
      <c r="V37" s="15">
        <v>1</v>
      </c>
      <c r="W37" s="18">
        <f>V37*U37</f>
        <v>0.2</v>
      </c>
      <c r="X37" s="18">
        <f>W37*AI37</f>
        <v>0.13600000000000001</v>
      </c>
      <c r="Y37" s="15">
        <v>0.2</v>
      </c>
      <c r="Z37" s="15">
        <v>1</v>
      </c>
      <c r="AA37" s="18">
        <f>Z37*Y37</f>
        <v>0.2</v>
      </c>
      <c r="AB37" s="70">
        <f>AA37*AI37</f>
        <v>0.13600000000000001</v>
      </c>
      <c r="AC37" s="63" t="s">
        <v>81</v>
      </c>
      <c r="AD37" s="36">
        <v>1</v>
      </c>
      <c r="AE37" s="64">
        <v>100</v>
      </c>
      <c r="AF37" s="21">
        <v>5</v>
      </c>
      <c r="AG37" s="21">
        <f t="shared" si="1"/>
        <v>500</v>
      </c>
      <c r="AH37" s="34">
        <f t="shared" si="2"/>
        <v>4.2830221003940377E-2</v>
      </c>
      <c r="AI37" s="71">
        <v>0.68</v>
      </c>
      <c r="AJ37" s="29"/>
    </row>
    <row r="38" spans="1:36" ht="37.5" x14ac:dyDescent="0.3">
      <c r="A38" s="85">
        <v>10</v>
      </c>
      <c r="B38" s="85" t="s">
        <v>45</v>
      </c>
      <c r="C38" s="14" t="s">
        <v>124</v>
      </c>
      <c r="D38" s="18" t="s">
        <v>79</v>
      </c>
      <c r="E38" s="105">
        <v>0.05</v>
      </c>
      <c r="F38" s="56">
        <v>0.8</v>
      </c>
      <c r="G38" s="56">
        <f>F38*$E$38</f>
        <v>4.0000000000000008E-2</v>
      </c>
      <c r="H38" s="56"/>
      <c r="I38" s="105">
        <v>0.1</v>
      </c>
      <c r="J38" s="56" t="s">
        <v>80</v>
      </c>
      <c r="K38" s="56" t="e">
        <f>J38*I38</f>
        <v>#VALUE!</v>
      </c>
      <c r="L38" s="56"/>
      <c r="M38" s="105">
        <v>0.2</v>
      </c>
      <c r="N38" s="56" t="s">
        <v>80</v>
      </c>
      <c r="O38" s="56" t="e">
        <f>N38*M38</f>
        <v>#VALUE!</v>
      </c>
      <c r="P38" s="56"/>
      <c r="Q38" s="105">
        <v>0.1</v>
      </c>
      <c r="R38" s="56" t="s">
        <v>80</v>
      </c>
      <c r="S38" s="56" t="e">
        <f>R38*Q38</f>
        <v>#VALUE!</v>
      </c>
      <c r="T38" s="56"/>
      <c r="U38" s="105">
        <v>0.1</v>
      </c>
      <c r="V38" s="56" t="s">
        <v>80</v>
      </c>
      <c r="W38" s="56" t="e">
        <f>V38*U38</f>
        <v>#VALUE!</v>
      </c>
      <c r="X38" s="56"/>
      <c r="Y38" s="105">
        <v>0.1</v>
      </c>
      <c r="Z38" s="56" t="s">
        <v>80</v>
      </c>
      <c r="AA38" s="56" t="e">
        <f>Z38*Y38</f>
        <v>#VALUE!</v>
      </c>
      <c r="AB38" s="56"/>
      <c r="AC38" s="18" t="s">
        <v>81</v>
      </c>
      <c r="AD38" s="67">
        <v>1</v>
      </c>
      <c r="AE38" s="20">
        <v>6</v>
      </c>
      <c r="AF38" s="21">
        <v>8</v>
      </c>
      <c r="AG38" s="21">
        <f t="shared" si="1"/>
        <v>48</v>
      </c>
      <c r="AH38" s="34">
        <f t="shared" si="2"/>
        <v>4.1117012163782761E-3</v>
      </c>
      <c r="AI38" s="71">
        <v>0.6</v>
      </c>
      <c r="AJ38" s="29"/>
    </row>
    <row r="39" spans="1:36" ht="37.5" x14ac:dyDescent="0.3">
      <c r="A39" s="85"/>
      <c r="B39" s="85"/>
      <c r="C39" s="14" t="s">
        <v>125</v>
      </c>
      <c r="D39" s="23" t="s">
        <v>87</v>
      </c>
      <c r="E39" s="106"/>
      <c r="F39" s="15">
        <v>0.2</v>
      </c>
      <c r="G39" s="18">
        <f>F39*$E$38</f>
        <v>1.0000000000000002E-2</v>
      </c>
      <c r="H39" s="18">
        <f>G39*AI39</f>
        <v>6.000000000000001E-3</v>
      </c>
      <c r="I39" s="106"/>
      <c r="J39" s="15">
        <v>0.1</v>
      </c>
      <c r="K39" s="58">
        <f>J39*I38</f>
        <v>1.0000000000000002E-2</v>
      </c>
      <c r="L39" s="58">
        <f>K39*AI39</f>
        <v>6.000000000000001E-3</v>
      </c>
      <c r="M39" s="106"/>
      <c r="N39" s="15">
        <v>0.01</v>
      </c>
      <c r="O39" s="18">
        <f>N39*M38</f>
        <v>2E-3</v>
      </c>
      <c r="P39" s="18">
        <f>O39*AI39</f>
        <v>1.1999999999999999E-3</v>
      </c>
      <c r="Q39" s="106"/>
      <c r="R39" s="15">
        <v>1</v>
      </c>
      <c r="S39" s="18">
        <f>R39*Q38</f>
        <v>0.1</v>
      </c>
      <c r="T39" s="18">
        <f>S39*AI39</f>
        <v>0.06</v>
      </c>
      <c r="U39" s="106"/>
      <c r="V39" s="15">
        <v>0.1</v>
      </c>
      <c r="W39" s="18">
        <f>V39*U38</f>
        <v>1.0000000000000002E-2</v>
      </c>
      <c r="X39" s="18">
        <f>W39*AI39</f>
        <v>6.000000000000001E-3</v>
      </c>
      <c r="Y39" s="106"/>
      <c r="Z39" s="15">
        <v>0.1</v>
      </c>
      <c r="AA39" s="18">
        <f>Z39*Y38</f>
        <v>1.0000000000000002E-2</v>
      </c>
      <c r="AB39" s="70">
        <f>AA39*AI39</f>
        <v>6.000000000000001E-3</v>
      </c>
      <c r="AC39" s="63" t="s">
        <v>81</v>
      </c>
      <c r="AD39" s="36">
        <v>1</v>
      </c>
      <c r="AE39" s="64">
        <v>6</v>
      </c>
      <c r="AF39" s="21">
        <v>2</v>
      </c>
      <c r="AG39" s="21">
        <f t="shared" si="1"/>
        <v>12</v>
      </c>
      <c r="AH39" s="34">
        <f t="shared" si="2"/>
        <v>1.027925304094569E-3</v>
      </c>
      <c r="AI39" s="71">
        <v>0.6</v>
      </c>
      <c r="AJ39" s="29"/>
    </row>
    <row r="40" spans="1:36" ht="37.5" x14ac:dyDescent="0.3">
      <c r="A40" s="85">
        <v>11</v>
      </c>
      <c r="B40" s="85" t="s">
        <v>53</v>
      </c>
      <c r="C40" s="14" t="s">
        <v>126</v>
      </c>
      <c r="D40" s="18" t="s">
        <v>79</v>
      </c>
      <c r="E40" s="105"/>
      <c r="F40" s="46"/>
      <c r="G40" s="46">
        <f>F40*$E$40</f>
        <v>0</v>
      </c>
      <c r="H40" s="56"/>
      <c r="I40" s="105"/>
      <c r="J40" s="46"/>
      <c r="K40" s="46">
        <f>J40*I40</f>
        <v>0</v>
      </c>
      <c r="L40" s="56"/>
      <c r="M40" s="105"/>
      <c r="N40" s="46"/>
      <c r="O40" s="46">
        <f>N40*M40</f>
        <v>0</v>
      </c>
      <c r="P40" s="56"/>
      <c r="Q40" s="105"/>
      <c r="R40" s="46" t="s">
        <v>80</v>
      </c>
      <c r="S40" s="46" t="e">
        <f>R40*Q40</f>
        <v>#VALUE!</v>
      </c>
      <c r="T40" s="56"/>
      <c r="U40" s="105"/>
      <c r="V40" s="46" t="s">
        <v>80</v>
      </c>
      <c r="W40" s="46" t="e">
        <f>V40*U40</f>
        <v>#VALUE!</v>
      </c>
      <c r="X40" s="56"/>
      <c r="Y40" s="105"/>
      <c r="Z40" s="46" t="s">
        <v>80</v>
      </c>
      <c r="AA40" s="46" t="e">
        <f>Z40*Y40</f>
        <v>#VALUE!</v>
      </c>
      <c r="AB40" s="46"/>
      <c r="AC40" s="18" t="s">
        <v>81</v>
      </c>
      <c r="AD40" s="66">
        <v>1</v>
      </c>
      <c r="AE40" s="20">
        <v>1</v>
      </c>
      <c r="AF40" s="21">
        <v>1</v>
      </c>
      <c r="AG40" s="21">
        <f t="shared" si="1"/>
        <v>1</v>
      </c>
      <c r="AH40" s="34">
        <f t="shared" si="2"/>
        <v>8.5660442007880766E-5</v>
      </c>
      <c r="AI40" s="71"/>
      <c r="AJ40" s="29"/>
    </row>
    <row r="41" spans="1:36" ht="56.25" x14ac:dyDescent="0.3">
      <c r="A41" s="85"/>
      <c r="B41" s="85"/>
      <c r="C41" s="14" t="s">
        <v>127</v>
      </c>
      <c r="D41" s="18" t="s">
        <v>79</v>
      </c>
      <c r="E41" s="105"/>
      <c r="F41" s="18"/>
      <c r="G41" s="18">
        <f t="shared" ref="G41:G42" si="40">F41*$E$40</f>
        <v>0</v>
      </c>
      <c r="H41" s="56"/>
      <c r="I41" s="105"/>
      <c r="J41" s="18"/>
      <c r="K41" s="18">
        <f>J41*I40</f>
        <v>0</v>
      </c>
      <c r="L41" s="56"/>
      <c r="M41" s="105"/>
      <c r="N41" s="18"/>
      <c r="O41" s="18">
        <f>N41*M40</f>
        <v>0</v>
      </c>
      <c r="P41" s="56"/>
      <c r="Q41" s="105"/>
      <c r="R41" s="18" t="s">
        <v>80</v>
      </c>
      <c r="S41" s="18" t="e">
        <f>R41*Q40</f>
        <v>#VALUE!</v>
      </c>
      <c r="T41" s="56"/>
      <c r="U41" s="105"/>
      <c r="V41" s="18" t="s">
        <v>80</v>
      </c>
      <c r="W41" s="18" t="e">
        <f>V41*U40</f>
        <v>#VALUE!</v>
      </c>
      <c r="X41" s="56"/>
      <c r="Y41" s="105"/>
      <c r="Z41" s="18" t="s">
        <v>80</v>
      </c>
      <c r="AA41" s="18" t="e">
        <f>Z41*Y40</f>
        <v>#VALUE!</v>
      </c>
      <c r="AB41" s="18"/>
      <c r="AC41" s="18" t="s">
        <v>81</v>
      </c>
      <c r="AD41" s="36">
        <v>1</v>
      </c>
      <c r="AE41" s="20">
        <v>1</v>
      </c>
      <c r="AF41" s="21">
        <v>1</v>
      </c>
      <c r="AG41" s="21">
        <f t="shared" si="1"/>
        <v>1</v>
      </c>
      <c r="AH41" s="34">
        <f t="shared" si="2"/>
        <v>8.5660442007880766E-5</v>
      </c>
      <c r="AI41" s="71"/>
      <c r="AJ41" s="29"/>
    </row>
    <row r="42" spans="1:36" ht="37.5" x14ac:dyDescent="0.3">
      <c r="A42" s="85"/>
      <c r="B42" s="85"/>
      <c r="C42" s="14" t="s">
        <v>128</v>
      </c>
      <c r="D42" s="18" t="s">
        <v>79</v>
      </c>
      <c r="E42" s="107"/>
      <c r="F42" s="18"/>
      <c r="G42" s="18">
        <f t="shared" si="40"/>
        <v>0</v>
      </c>
      <c r="H42" s="46"/>
      <c r="I42" s="107"/>
      <c r="J42" s="18"/>
      <c r="K42" s="18">
        <f>J42*I40</f>
        <v>0</v>
      </c>
      <c r="L42" s="46"/>
      <c r="M42" s="107"/>
      <c r="N42" s="18"/>
      <c r="O42" s="18">
        <f>N42*M40</f>
        <v>0</v>
      </c>
      <c r="P42" s="46"/>
      <c r="Q42" s="107"/>
      <c r="R42" s="18" t="s">
        <v>80</v>
      </c>
      <c r="S42" s="18" t="e">
        <f>R42*Q40</f>
        <v>#VALUE!</v>
      </c>
      <c r="T42" s="46"/>
      <c r="U42" s="107"/>
      <c r="V42" s="18" t="s">
        <v>80</v>
      </c>
      <c r="W42" s="18" t="e">
        <f>V42*U40</f>
        <v>#VALUE!</v>
      </c>
      <c r="X42" s="46"/>
      <c r="Y42" s="107"/>
      <c r="Z42" s="18" t="s">
        <v>80</v>
      </c>
      <c r="AA42" s="18" t="e">
        <f>Z42*Y40</f>
        <v>#VALUE!</v>
      </c>
      <c r="AB42" s="18"/>
      <c r="AC42" s="18" t="s">
        <v>81</v>
      </c>
      <c r="AD42" s="36">
        <v>1</v>
      </c>
      <c r="AE42" s="20">
        <v>1</v>
      </c>
      <c r="AF42" s="21">
        <v>1</v>
      </c>
      <c r="AG42" s="21">
        <f t="shared" si="1"/>
        <v>1</v>
      </c>
      <c r="AH42" s="34">
        <f t="shared" si="2"/>
        <v>8.5660442007880766E-5</v>
      </c>
      <c r="AI42" s="71"/>
      <c r="AJ42" s="29"/>
    </row>
    <row r="43" spans="1:36" ht="36.75" customHeight="1" x14ac:dyDescent="0.3">
      <c r="A43" s="15">
        <v>12</v>
      </c>
      <c r="B43" s="15" t="s">
        <v>129</v>
      </c>
      <c r="C43" s="14" t="s">
        <v>130</v>
      </c>
      <c r="D43" s="18" t="s">
        <v>79</v>
      </c>
      <c r="E43" s="55">
        <v>0.1</v>
      </c>
      <c r="F43" s="55">
        <v>1</v>
      </c>
      <c r="G43" s="55">
        <f>F43*E43</f>
        <v>0.1</v>
      </c>
      <c r="H43" s="55"/>
      <c r="I43" s="55"/>
      <c r="J43" s="55" t="s">
        <v>80</v>
      </c>
      <c r="K43" s="55" t="e">
        <f>J43*I43</f>
        <v>#VALUE!</v>
      </c>
      <c r="L43" s="55"/>
      <c r="M43" s="55"/>
      <c r="N43" s="55" t="s">
        <v>80</v>
      </c>
      <c r="O43" s="55" t="e">
        <f>N43*M43</f>
        <v>#VALUE!</v>
      </c>
      <c r="P43" s="55"/>
      <c r="Q43" s="55"/>
      <c r="R43" s="55" t="s">
        <v>80</v>
      </c>
      <c r="S43" s="55" t="e">
        <f>R43*Q43</f>
        <v>#VALUE!</v>
      </c>
      <c r="T43" s="55"/>
      <c r="U43" s="55"/>
      <c r="V43" s="55" t="s">
        <v>80</v>
      </c>
      <c r="W43" s="55" t="e">
        <f>V43*U43</f>
        <v>#VALUE!</v>
      </c>
      <c r="X43" s="55"/>
      <c r="Y43" s="55"/>
      <c r="Z43" s="55" t="s">
        <v>80</v>
      </c>
      <c r="AA43" s="55" t="e">
        <f>Z43*Y43</f>
        <v>#VALUE!</v>
      </c>
      <c r="AB43" s="55"/>
      <c r="AC43" s="18" t="s">
        <v>81</v>
      </c>
      <c r="AD43" s="65">
        <v>1</v>
      </c>
      <c r="AE43" s="20">
        <v>1</v>
      </c>
      <c r="AF43" s="21">
        <v>10</v>
      </c>
      <c r="AG43" s="21">
        <f t="shared" si="1"/>
        <v>10</v>
      </c>
      <c r="AH43" s="34">
        <f t="shared" si="2"/>
        <v>8.5660442007880764E-4</v>
      </c>
      <c r="AI43" s="71"/>
      <c r="AJ43" s="29"/>
    </row>
    <row r="44" spans="1:36" ht="38.25" customHeight="1" x14ac:dyDescent="0.3">
      <c r="A44" s="15">
        <v>13</v>
      </c>
      <c r="B44" s="15" t="s">
        <v>131</v>
      </c>
      <c r="C44" s="14" t="s">
        <v>132</v>
      </c>
      <c r="D44" s="23" t="s">
        <v>87</v>
      </c>
      <c r="E44" s="15">
        <v>0.1</v>
      </c>
      <c r="F44" s="15">
        <v>1</v>
      </c>
      <c r="G44" s="15">
        <f>F44*E44</f>
        <v>0.1</v>
      </c>
      <c r="H44" s="18">
        <f t="shared" ref="H44:H46" si="41">G44*AI44</f>
        <v>0.06</v>
      </c>
      <c r="I44" s="15">
        <v>0.1</v>
      </c>
      <c r="J44" s="15">
        <v>0.1</v>
      </c>
      <c r="K44" s="23">
        <v>0.1</v>
      </c>
      <c r="L44" s="58">
        <f>K44*AI44</f>
        <v>0.06</v>
      </c>
      <c r="M44" s="15">
        <v>0.1</v>
      </c>
      <c r="N44" s="15">
        <v>0.1</v>
      </c>
      <c r="O44" s="15">
        <f>N44*M44</f>
        <v>1.0000000000000002E-2</v>
      </c>
      <c r="P44" s="18">
        <f t="shared" ref="P44:P46" si="42">O44*AI44</f>
        <v>6.000000000000001E-3</v>
      </c>
      <c r="Q44" s="15">
        <v>0.1</v>
      </c>
      <c r="R44" s="15">
        <v>0.1</v>
      </c>
      <c r="S44" s="15">
        <f>R44*Q44</f>
        <v>1.0000000000000002E-2</v>
      </c>
      <c r="T44" s="18">
        <f>S44*AI44</f>
        <v>6.000000000000001E-3</v>
      </c>
      <c r="U44" s="15">
        <v>0.1</v>
      </c>
      <c r="V44" s="15">
        <v>0.1</v>
      </c>
      <c r="W44" s="15">
        <f>V44*U44</f>
        <v>1.0000000000000002E-2</v>
      </c>
      <c r="X44" s="18">
        <f>W44*AI44</f>
        <v>6.000000000000001E-3</v>
      </c>
      <c r="Y44" s="15">
        <v>0.1</v>
      </c>
      <c r="Z44" s="15">
        <v>0.1</v>
      </c>
      <c r="AA44" s="15">
        <f>Z44*Y44</f>
        <v>1.0000000000000002E-2</v>
      </c>
      <c r="AB44" s="70">
        <f>AA44*AI44</f>
        <v>6.000000000000001E-3</v>
      </c>
      <c r="AC44" s="63" t="s">
        <v>81</v>
      </c>
      <c r="AD44" s="36">
        <v>1</v>
      </c>
      <c r="AE44" s="64">
        <v>1</v>
      </c>
      <c r="AF44" s="21">
        <v>5</v>
      </c>
      <c r="AG44" s="21">
        <f t="shared" si="1"/>
        <v>5</v>
      </c>
      <c r="AH44" s="34">
        <f t="shared" si="2"/>
        <v>4.2830221003940382E-4</v>
      </c>
      <c r="AI44" s="71">
        <v>0.6</v>
      </c>
      <c r="AJ44" s="29"/>
    </row>
    <row r="45" spans="1:36" ht="18.75" x14ac:dyDescent="0.25">
      <c r="H45" s="18">
        <f t="shared" si="41"/>
        <v>0</v>
      </c>
      <c r="J45">
        <f>COUNTIFS(J5:J44,"Có",D5:D44,"Mang tính lặp lại")</f>
        <v>0</v>
      </c>
      <c r="N45">
        <f>COUNTIFS(N5:N44,"Có",D5:D44,"Mang tính lặp lại")</f>
        <v>0</v>
      </c>
      <c r="P45" s="18">
        <f t="shared" si="42"/>
        <v>0</v>
      </c>
      <c r="R45">
        <f>COUNTIFS(R5:R44,"Có",D5:D44,"Mang tính lặp lại")</f>
        <v>0</v>
      </c>
      <c r="V45">
        <f>COUNTIFS(V5:V44,"Có",D5:D44,"Mang tính lặp lại")</f>
        <v>0</v>
      </c>
      <c r="Z45">
        <f>COUNTIFS(Z5:Z44,"Có",D5:D44,"Mang tính lặp lại")</f>
        <v>0</v>
      </c>
    </row>
    <row r="46" spans="1:36" ht="18.75" x14ac:dyDescent="0.25">
      <c r="F46" s="52">
        <f>COUNTIFS(F5:F44,"Có")</f>
        <v>0</v>
      </c>
      <c r="G46" s="52"/>
      <c r="H46" s="18">
        <f t="shared" si="41"/>
        <v>0</v>
      </c>
      <c r="I46" s="52"/>
      <c r="J46" s="52">
        <f>COUNTIFS(J5:J44,"Có")</f>
        <v>13</v>
      </c>
      <c r="K46" s="52"/>
      <c r="L46" s="52"/>
      <c r="M46" s="52"/>
      <c r="N46" s="52">
        <f>COUNTIFS(N5:N44,"Có")</f>
        <v>13</v>
      </c>
      <c r="O46" s="52"/>
      <c r="P46" s="18">
        <f t="shared" si="42"/>
        <v>0</v>
      </c>
      <c r="Q46" s="52"/>
      <c r="R46" s="52">
        <f>COUNTIFS(R5:R44,"Có")</f>
        <v>16</v>
      </c>
      <c r="S46" s="52"/>
      <c r="T46" s="52"/>
      <c r="U46" s="52"/>
      <c r="V46" s="52">
        <f>COUNTIFS(V5:V44,"Có")</f>
        <v>16</v>
      </c>
      <c r="W46" s="52"/>
      <c r="X46" s="52"/>
      <c r="Y46" s="52"/>
      <c r="Z46" s="52">
        <f>COUNTIFS(Z5:Z44,"Có")</f>
        <v>16</v>
      </c>
      <c r="AA46" s="52"/>
      <c r="AB46" s="52"/>
    </row>
    <row r="47" spans="1:36" s="59" customFormat="1" x14ac:dyDescent="0.25">
      <c r="D47" s="59" t="s">
        <v>133</v>
      </c>
      <c r="E47" s="59">
        <f>SUM(E3:E44)</f>
        <v>1</v>
      </c>
      <c r="F47" s="52">
        <f>SUMIFS(G3:G44,D3:D44,"Mang tính lặp lại")</f>
        <v>0.41500000000000004</v>
      </c>
      <c r="H47" s="73">
        <f>SUMIFS(H3:H44,$D$3:$D$44,"Mang tính lặp lại")</f>
        <v>0.29430000000000001</v>
      </c>
      <c r="I47" s="59">
        <f>SUM(I3:I44)</f>
        <v>1</v>
      </c>
      <c r="J47" s="52">
        <f>SUMIFS(K3:K44,$D$3:$D$44,"Mang tính lặp lại")</f>
        <v>0.4</v>
      </c>
      <c r="L47" s="73">
        <f>SUMIFS(L3:L44,$D$3:$D$44,"Mang tính lặp lại")</f>
        <v>0.27100000000000002</v>
      </c>
      <c r="M47" s="59">
        <f>SUM(M3:M44)</f>
        <v>0.99999999999999989</v>
      </c>
      <c r="N47" s="52">
        <f>SUMIFS(O3:O44,$D$3:$D$44,"Mang tính lặp lại")</f>
        <v>0.41200000000000009</v>
      </c>
      <c r="P47" s="73">
        <f>SUMIFS(P3:P44,$D$3:$D$44,"Mang tính lặp lại")</f>
        <v>0.29120000000000001</v>
      </c>
      <c r="Q47" s="59">
        <f>SUM(Q3:Q44)</f>
        <v>1</v>
      </c>
      <c r="R47" s="52">
        <f>SUMIFS(S3:S44,$D$3:$D$44,"Mang tính lặp lại")</f>
        <v>0.47000000000000008</v>
      </c>
      <c r="T47" s="73">
        <f>SUMIFS(T3:T44,$D$3:$D$44,"Mang tính lặp lại")</f>
        <v>0.32200000000000006</v>
      </c>
      <c r="U47" s="59">
        <f>SUM(U3:U44)</f>
        <v>1</v>
      </c>
      <c r="V47" s="52">
        <f>SUMIFS(W3:W44,$D$3:$D$44,"Mang tính lặp lại")</f>
        <v>0.59000000000000008</v>
      </c>
      <c r="X47" s="73">
        <f>SUMIFS(X3:X44,$D$3:$D$44,"Mang tính lặp lại")</f>
        <v>0.41500000000000009</v>
      </c>
      <c r="Y47" s="59">
        <f>SUM(Y3:Y44)</f>
        <v>1</v>
      </c>
      <c r="Z47" s="52">
        <f>SUMIFS(AA3:AA44,$D$3:$D$44,"Mang tính lặp lại")</f>
        <v>0.62000000000000011</v>
      </c>
      <c r="AB47" s="72">
        <f>SUMIFS(AB3:AB44,$D$3:$D$44,"Mang tính lặp lại")</f>
        <v>0.43600000000000005</v>
      </c>
    </row>
  </sheetData>
  <autoFilter ref="A2:Z47" xr:uid="{A9A9A58E-8C35-41A6-8F96-5CBC98230808}"/>
  <mergeCells count="94">
    <mergeCell ref="Y23:Y26"/>
    <mergeCell ref="Y27:Y30"/>
    <mergeCell ref="Y31:Y36"/>
    <mergeCell ref="Y38:Y39"/>
    <mergeCell ref="Y40:Y42"/>
    <mergeCell ref="Y3:Y6"/>
    <mergeCell ref="Y7:Y9"/>
    <mergeCell ref="Y10:Y14"/>
    <mergeCell ref="Y15:Y18"/>
    <mergeCell ref="Y19:Y22"/>
    <mergeCell ref="U23:U26"/>
    <mergeCell ref="U27:U30"/>
    <mergeCell ref="U31:U36"/>
    <mergeCell ref="U38:U39"/>
    <mergeCell ref="U40:U42"/>
    <mergeCell ref="U3:U6"/>
    <mergeCell ref="U7:U9"/>
    <mergeCell ref="U10:U14"/>
    <mergeCell ref="U15:U18"/>
    <mergeCell ref="U19:U22"/>
    <mergeCell ref="Q40:Q42"/>
    <mergeCell ref="Q3:Q6"/>
    <mergeCell ref="Q7:Q9"/>
    <mergeCell ref="Q10:Q14"/>
    <mergeCell ref="Q15:Q18"/>
    <mergeCell ref="Q19:Q22"/>
    <mergeCell ref="Q23:Q26"/>
    <mergeCell ref="Q27:Q30"/>
    <mergeCell ref="Q31:Q36"/>
    <mergeCell ref="Q38:Q39"/>
    <mergeCell ref="M23:M26"/>
    <mergeCell ref="M27:M30"/>
    <mergeCell ref="M31:M36"/>
    <mergeCell ref="M38:M39"/>
    <mergeCell ref="M40:M42"/>
    <mergeCell ref="M3:M6"/>
    <mergeCell ref="M7:M9"/>
    <mergeCell ref="M10:M14"/>
    <mergeCell ref="M15:M18"/>
    <mergeCell ref="M19:M22"/>
    <mergeCell ref="I23:I26"/>
    <mergeCell ref="I27:I30"/>
    <mergeCell ref="I31:I36"/>
    <mergeCell ref="I38:I39"/>
    <mergeCell ref="I40:I42"/>
    <mergeCell ref="I3:I6"/>
    <mergeCell ref="I7:I9"/>
    <mergeCell ref="I10:I14"/>
    <mergeCell ref="I15:I18"/>
    <mergeCell ref="I19:I22"/>
    <mergeCell ref="E23:E26"/>
    <mergeCell ref="E27:E30"/>
    <mergeCell ref="E31:E36"/>
    <mergeCell ref="E38:E39"/>
    <mergeCell ref="E40:E42"/>
    <mergeCell ref="E3:E6"/>
    <mergeCell ref="E7:E9"/>
    <mergeCell ref="E10:E14"/>
    <mergeCell ref="E15:E18"/>
    <mergeCell ref="E19:E22"/>
    <mergeCell ref="AI1:AI2"/>
    <mergeCell ref="AJ1:AJ2"/>
    <mergeCell ref="E2:G2"/>
    <mergeCell ref="I2:K2"/>
    <mergeCell ref="M2:O2"/>
    <mergeCell ref="Q2:S2"/>
    <mergeCell ref="U2:W2"/>
    <mergeCell ref="Y2:AA2"/>
    <mergeCell ref="AF1:AF2"/>
    <mergeCell ref="AE1:AE2"/>
    <mergeCell ref="AD1:AD2"/>
    <mergeCell ref="AG1:AG2"/>
    <mergeCell ref="AH1:AH2"/>
    <mergeCell ref="F1:Z1"/>
    <mergeCell ref="B27:B30"/>
    <mergeCell ref="A27:A30"/>
    <mergeCell ref="B15:B18"/>
    <mergeCell ref="A15:A18"/>
    <mergeCell ref="B40:B42"/>
    <mergeCell ref="A40:A42"/>
    <mergeCell ref="B31:B36"/>
    <mergeCell ref="A31:A36"/>
    <mergeCell ref="B38:B39"/>
    <mergeCell ref="A38:A39"/>
    <mergeCell ref="B19:B22"/>
    <mergeCell ref="A19:A22"/>
    <mergeCell ref="B23:B26"/>
    <mergeCell ref="A3:A6"/>
    <mergeCell ref="B3:B6"/>
    <mergeCell ref="B10:B14"/>
    <mergeCell ref="A10:A14"/>
    <mergeCell ref="A23:A26"/>
    <mergeCell ref="B7:B9"/>
    <mergeCell ref="A7:A9"/>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1011-0F55-4B10-B5F2-B62573F7A307}">
  <dimension ref="A1:D8"/>
  <sheetViews>
    <sheetView zoomScaleNormal="100" workbookViewId="0">
      <selection activeCell="B31" sqref="B31"/>
    </sheetView>
  </sheetViews>
  <sheetFormatPr defaultRowHeight="15" x14ac:dyDescent="0.25"/>
  <cols>
    <col min="1" max="1" width="9.140625" style="80"/>
    <col min="2" max="2" width="44.7109375" bestFit="1" customWidth="1"/>
    <col min="3" max="3" width="9.140625" style="80"/>
    <col min="4" max="4" width="42.85546875" customWidth="1"/>
  </cols>
  <sheetData>
    <row r="1" spans="1:4" ht="18.75" x14ac:dyDescent="0.25">
      <c r="A1" s="79" t="s">
        <v>0</v>
      </c>
      <c r="B1" s="51" t="s">
        <v>58</v>
      </c>
      <c r="C1" s="79" t="s">
        <v>0</v>
      </c>
      <c r="D1" s="51" t="s">
        <v>58</v>
      </c>
    </row>
    <row r="2" spans="1:4" ht="12.75" customHeight="1" x14ac:dyDescent="0.25">
      <c r="A2" s="77">
        <v>1</v>
      </c>
      <c r="B2" s="8" t="s">
        <v>77</v>
      </c>
      <c r="C2" s="77">
        <v>7</v>
      </c>
      <c r="D2" s="82" t="s">
        <v>30</v>
      </c>
    </row>
    <row r="3" spans="1:4" ht="15" customHeight="1" x14ac:dyDescent="0.25">
      <c r="A3" s="77">
        <v>2</v>
      </c>
      <c r="B3" s="8" t="s">
        <v>90</v>
      </c>
      <c r="C3" s="77">
        <v>8</v>
      </c>
      <c r="D3" s="82" t="s">
        <v>35</v>
      </c>
    </row>
    <row r="4" spans="1:4" ht="15" customHeight="1" x14ac:dyDescent="0.25">
      <c r="A4" s="77">
        <v>3</v>
      </c>
      <c r="B4" s="8" t="s">
        <v>12</v>
      </c>
      <c r="C4" s="77">
        <v>9</v>
      </c>
      <c r="D4" s="82" t="s">
        <v>40</v>
      </c>
    </row>
    <row r="5" spans="1:4" ht="15" customHeight="1" x14ac:dyDescent="0.25">
      <c r="A5" s="77">
        <v>4</v>
      </c>
      <c r="B5" s="8" t="s">
        <v>17</v>
      </c>
      <c r="C5" s="77">
        <v>10</v>
      </c>
      <c r="D5" s="82" t="s">
        <v>45</v>
      </c>
    </row>
    <row r="6" spans="1:4" ht="15" customHeight="1" x14ac:dyDescent="0.25">
      <c r="A6" s="77">
        <v>5</v>
      </c>
      <c r="B6" s="8" t="s">
        <v>20</v>
      </c>
      <c r="C6" s="77">
        <v>11</v>
      </c>
      <c r="D6" s="82" t="s">
        <v>53</v>
      </c>
    </row>
    <row r="7" spans="1:4" ht="15" customHeight="1" x14ac:dyDescent="0.25">
      <c r="A7" s="77">
        <v>6</v>
      </c>
      <c r="B7" s="8" t="s">
        <v>25</v>
      </c>
      <c r="C7" s="78">
        <v>12</v>
      </c>
      <c r="D7" s="12" t="s">
        <v>129</v>
      </c>
    </row>
    <row r="8" spans="1:4" ht="15" customHeight="1" x14ac:dyDescent="0.25">
      <c r="A8" s="77"/>
      <c r="B8" s="8"/>
      <c r="C8" s="78">
        <v>13</v>
      </c>
      <c r="D8" s="12" t="s">
        <v>131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6982-B05D-4F45-A221-706B4BF89509}">
  <dimension ref="A1:P43"/>
  <sheetViews>
    <sheetView zoomScale="85" zoomScaleNormal="85" workbookViewId="0">
      <selection activeCell="E16" sqref="E16"/>
    </sheetView>
  </sheetViews>
  <sheetFormatPr defaultRowHeight="15" x14ac:dyDescent="0.25"/>
  <cols>
    <col min="2" max="2" width="43.42578125" bestFit="1" customWidth="1"/>
    <col min="3" max="3" width="24.140625" bestFit="1" customWidth="1"/>
    <col min="4" max="4" width="15.5703125" customWidth="1"/>
    <col min="5" max="5" width="23.28515625" bestFit="1" customWidth="1"/>
    <col min="6" max="6" width="16.85546875" bestFit="1" customWidth="1"/>
    <col min="7" max="7" width="25.85546875" customWidth="1"/>
    <col min="8" max="8" width="13.42578125" customWidth="1"/>
    <col min="9" max="9" width="19.28515625" bestFit="1" customWidth="1"/>
    <col min="10" max="10" width="19.28515625" customWidth="1"/>
    <col min="11" max="11" width="51.28515625" bestFit="1" customWidth="1"/>
    <col min="13" max="13" width="15.28515625" customWidth="1"/>
    <col min="15" max="15" width="47.28515625" customWidth="1"/>
  </cols>
  <sheetData>
    <row r="1" spans="1:16" ht="57" customHeight="1" x14ac:dyDescent="0.25">
      <c r="A1" s="17" t="s">
        <v>0</v>
      </c>
      <c r="B1" s="17" t="s">
        <v>58</v>
      </c>
      <c r="C1" s="17" t="s">
        <v>60</v>
      </c>
      <c r="D1" s="17" t="s">
        <v>61</v>
      </c>
      <c r="E1" s="17" t="s">
        <v>62</v>
      </c>
      <c r="F1" s="19" t="s">
        <v>63</v>
      </c>
      <c r="G1" s="24" t="s">
        <v>64</v>
      </c>
      <c r="H1" s="40" t="s">
        <v>65</v>
      </c>
      <c r="I1" s="30" t="s">
        <v>66</v>
      </c>
      <c r="J1" s="31" t="s">
        <v>67</v>
      </c>
      <c r="K1" s="28" t="s">
        <v>68</v>
      </c>
      <c r="M1" s="27" t="s">
        <v>69</v>
      </c>
      <c r="N1" s="38">
        <v>142</v>
      </c>
      <c r="O1" s="32" t="s">
        <v>70</v>
      </c>
      <c r="P1" s="38">
        <f>N1*120</f>
        <v>17040</v>
      </c>
    </row>
    <row r="2" spans="1:16" ht="75" x14ac:dyDescent="0.25">
      <c r="A2" s="85">
        <v>1</v>
      </c>
      <c r="B2" s="86" t="s">
        <v>77</v>
      </c>
      <c r="C2" s="18" t="s">
        <v>79</v>
      </c>
      <c r="D2" s="18" t="s">
        <v>81</v>
      </c>
      <c r="E2" s="37">
        <v>1</v>
      </c>
      <c r="F2" s="15">
        <v>300</v>
      </c>
      <c r="G2" s="23">
        <v>10</v>
      </c>
      <c r="H2" s="23">
        <f>E2*F2*G2</f>
        <v>3000</v>
      </c>
      <c r="I2" s="35">
        <f>H2/SUM($H$2:$H$43)</f>
        <v>0.25698132602364226</v>
      </c>
      <c r="J2" s="22"/>
      <c r="K2" s="29"/>
      <c r="O2" s="32" t="s">
        <v>82</v>
      </c>
    </row>
    <row r="3" spans="1:16" ht="44.25" customHeight="1" x14ac:dyDescent="0.3">
      <c r="A3" s="85"/>
      <c r="B3" s="86"/>
      <c r="C3" s="18" t="s">
        <v>79</v>
      </c>
      <c r="D3" s="18" t="s">
        <v>81</v>
      </c>
      <c r="E3" s="36">
        <v>1</v>
      </c>
      <c r="F3" s="20">
        <v>300</v>
      </c>
      <c r="G3" s="21">
        <v>10</v>
      </c>
      <c r="H3" s="21">
        <f t="shared" ref="H3:H43" si="0">E3*F3*G3</f>
        <v>3000</v>
      </c>
      <c r="I3" s="34">
        <f t="shared" ref="I3:I43" si="1">H3/SUM($H$2:$H$43)</f>
        <v>0.25698132602364226</v>
      </c>
      <c r="J3" s="22"/>
      <c r="K3" s="25" t="s">
        <v>84</v>
      </c>
      <c r="O3" s="33" t="s">
        <v>85</v>
      </c>
      <c r="P3" s="39">
        <f>P1*(P2)</f>
        <v>0</v>
      </c>
    </row>
    <row r="4" spans="1:16" ht="57" customHeight="1" x14ac:dyDescent="0.3">
      <c r="A4" s="85"/>
      <c r="B4" s="86"/>
      <c r="C4" s="15" t="s">
        <v>87</v>
      </c>
      <c r="D4" s="15" t="s">
        <v>81</v>
      </c>
      <c r="E4" s="36">
        <v>1</v>
      </c>
      <c r="F4" s="20">
        <v>300</v>
      </c>
      <c r="G4" s="21">
        <v>15</v>
      </c>
      <c r="H4" s="21">
        <f t="shared" si="0"/>
        <v>4500</v>
      </c>
      <c r="I4" s="34">
        <f t="shared" si="1"/>
        <v>0.38547198903546342</v>
      </c>
      <c r="J4" s="22"/>
      <c r="K4" s="26" t="s">
        <v>88</v>
      </c>
    </row>
    <row r="5" spans="1:16" ht="18.75" x14ac:dyDescent="0.3">
      <c r="A5" s="85"/>
      <c r="B5" s="86"/>
      <c r="C5" s="18" t="s">
        <v>79</v>
      </c>
      <c r="D5" s="18" t="s">
        <v>81</v>
      </c>
      <c r="E5" s="36">
        <v>1</v>
      </c>
      <c r="F5" s="20">
        <v>3</v>
      </c>
      <c r="G5" s="21">
        <v>5</v>
      </c>
      <c r="H5" s="21">
        <f t="shared" si="0"/>
        <v>15</v>
      </c>
      <c r="I5" s="34">
        <f t="shared" si="1"/>
        <v>1.2849066301182115E-3</v>
      </c>
      <c r="J5" s="22"/>
      <c r="K5" s="29"/>
    </row>
    <row r="6" spans="1:16" ht="18.75" x14ac:dyDescent="0.3">
      <c r="A6" s="85">
        <v>2</v>
      </c>
      <c r="B6" s="86" t="s">
        <v>90</v>
      </c>
      <c r="C6" s="18" t="s">
        <v>79</v>
      </c>
      <c r="D6" s="18" t="s">
        <v>81</v>
      </c>
      <c r="E6" s="36">
        <v>1</v>
      </c>
      <c r="F6" s="20">
        <v>6</v>
      </c>
      <c r="G6" s="21">
        <v>2</v>
      </c>
      <c r="H6" s="21">
        <f t="shared" si="0"/>
        <v>12</v>
      </c>
      <c r="I6" s="34">
        <f t="shared" si="1"/>
        <v>1.027925304094569E-3</v>
      </c>
      <c r="J6" s="22"/>
      <c r="K6" s="29"/>
    </row>
    <row r="7" spans="1:16" ht="18.75" x14ac:dyDescent="0.3">
      <c r="A7" s="85"/>
      <c r="B7" s="86"/>
      <c r="C7" s="18" t="s">
        <v>79</v>
      </c>
      <c r="D7" s="18" t="s">
        <v>81</v>
      </c>
      <c r="E7" s="36">
        <v>1</v>
      </c>
      <c r="F7" s="20">
        <v>6</v>
      </c>
      <c r="G7" s="21">
        <v>2</v>
      </c>
      <c r="H7" s="21">
        <f t="shared" si="0"/>
        <v>12</v>
      </c>
      <c r="I7" s="34">
        <f t="shared" si="1"/>
        <v>1.027925304094569E-3</v>
      </c>
      <c r="J7" s="22"/>
      <c r="K7" s="29"/>
    </row>
    <row r="8" spans="1:16" ht="18.75" x14ac:dyDescent="0.3">
      <c r="A8" s="85"/>
      <c r="B8" s="86"/>
      <c r="C8" s="18" t="s">
        <v>79</v>
      </c>
      <c r="D8" s="18" t="s">
        <v>81</v>
      </c>
      <c r="E8" s="36">
        <v>1</v>
      </c>
      <c r="F8" s="20">
        <v>6</v>
      </c>
      <c r="G8" s="21">
        <v>6</v>
      </c>
      <c r="H8" s="21">
        <f t="shared" si="0"/>
        <v>36</v>
      </c>
      <c r="I8" s="34">
        <f t="shared" si="1"/>
        <v>3.0837759122837073E-3</v>
      </c>
      <c r="J8" s="22"/>
      <c r="K8" s="29"/>
    </row>
    <row r="9" spans="1:16" ht="18.75" x14ac:dyDescent="0.3">
      <c r="A9" s="85">
        <v>3</v>
      </c>
      <c r="B9" s="86" t="s">
        <v>12</v>
      </c>
      <c r="C9" s="15" t="s">
        <v>87</v>
      </c>
      <c r="D9" s="15" t="s">
        <v>81</v>
      </c>
      <c r="E9" s="36">
        <v>1</v>
      </c>
      <c r="F9" s="20">
        <v>3</v>
      </c>
      <c r="G9" s="21">
        <v>1</v>
      </c>
      <c r="H9" s="21">
        <f t="shared" si="0"/>
        <v>3</v>
      </c>
      <c r="I9" s="34">
        <f t="shared" si="1"/>
        <v>2.5698132602364226E-4</v>
      </c>
      <c r="J9" s="22"/>
      <c r="K9" s="29"/>
    </row>
    <row r="10" spans="1:16" ht="18.75" x14ac:dyDescent="0.3">
      <c r="A10" s="85"/>
      <c r="B10" s="86"/>
      <c r="C10" s="15" t="s">
        <v>87</v>
      </c>
      <c r="D10" s="15" t="s">
        <v>81</v>
      </c>
      <c r="E10" s="36">
        <v>1</v>
      </c>
      <c r="F10" s="20">
        <v>6</v>
      </c>
      <c r="G10" s="21">
        <v>2</v>
      </c>
      <c r="H10" s="21">
        <f t="shared" si="0"/>
        <v>12</v>
      </c>
      <c r="I10" s="34">
        <f t="shared" si="1"/>
        <v>1.027925304094569E-3</v>
      </c>
      <c r="J10" s="22"/>
      <c r="K10" s="29"/>
    </row>
    <row r="11" spans="1:16" ht="18.75" x14ac:dyDescent="0.3">
      <c r="A11" s="85"/>
      <c r="B11" s="86"/>
      <c r="C11" s="15" t="s">
        <v>87</v>
      </c>
      <c r="D11" s="15" t="s">
        <v>81</v>
      </c>
      <c r="E11" s="36">
        <v>1</v>
      </c>
      <c r="F11" s="20">
        <v>6</v>
      </c>
      <c r="G11" s="21">
        <v>5</v>
      </c>
      <c r="H11" s="21">
        <f t="shared" si="0"/>
        <v>30</v>
      </c>
      <c r="I11" s="34">
        <f t="shared" si="1"/>
        <v>2.5698132602364229E-3</v>
      </c>
      <c r="J11" s="22"/>
      <c r="K11" s="29"/>
    </row>
    <row r="12" spans="1:16" ht="18.75" x14ac:dyDescent="0.3">
      <c r="A12" s="85"/>
      <c r="B12" s="86"/>
      <c r="C12" s="15" t="s">
        <v>87</v>
      </c>
      <c r="D12" s="15" t="s">
        <v>81</v>
      </c>
      <c r="E12" s="36">
        <v>1</v>
      </c>
      <c r="F12" s="20">
        <v>6</v>
      </c>
      <c r="G12" s="21">
        <v>4</v>
      </c>
      <c r="H12" s="21">
        <f t="shared" si="0"/>
        <v>24</v>
      </c>
      <c r="I12" s="34">
        <f t="shared" si="1"/>
        <v>2.0558506081891381E-3</v>
      </c>
      <c r="J12" s="22"/>
      <c r="K12" s="29"/>
    </row>
    <row r="13" spans="1:16" ht="18.75" x14ac:dyDescent="0.3">
      <c r="A13" s="85"/>
      <c r="B13" s="86"/>
      <c r="C13" s="18" t="s">
        <v>79</v>
      </c>
      <c r="D13" s="18" t="s">
        <v>81</v>
      </c>
      <c r="E13" s="36">
        <v>1</v>
      </c>
      <c r="F13" s="20">
        <v>6</v>
      </c>
      <c r="G13" s="21">
        <v>8</v>
      </c>
      <c r="H13" s="21">
        <f t="shared" si="0"/>
        <v>48</v>
      </c>
      <c r="I13" s="34">
        <f t="shared" si="1"/>
        <v>4.1117012163782761E-3</v>
      </c>
      <c r="J13" s="22"/>
      <c r="K13" s="29"/>
    </row>
    <row r="14" spans="1:16" ht="18.75" x14ac:dyDescent="0.3">
      <c r="A14" s="85">
        <v>4</v>
      </c>
      <c r="B14" s="86" t="s">
        <v>17</v>
      </c>
      <c r="C14" s="18" t="s">
        <v>79</v>
      </c>
      <c r="D14" s="18" t="s">
        <v>100</v>
      </c>
      <c r="E14" s="36">
        <v>1</v>
      </c>
      <c r="F14" s="20">
        <v>3</v>
      </c>
      <c r="G14" s="21">
        <v>1</v>
      </c>
      <c r="H14" s="21">
        <f t="shared" si="0"/>
        <v>3</v>
      </c>
      <c r="I14" s="34">
        <f t="shared" si="1"/>
        <v>2.5698132602364226E-4</v>
      </c>
      <c r="J14" s="22"/>
      <c r="K14" s="29"/>
    </row>
    <row r="15" spans="1:16" ht="18.75" x14ac:dyDescent="0.3">
      <c r="A15" s="85"/>
      <c r="B15" s="86"/>
      <c r="C15" s="15" t="s">
        <v>87</v>
      </c>
      <c r="D15" s="15" t="s">
        <v>100</v>
      </c>
      <c r="E15" s="36">
        <v>1</v>
      </c>
      <c r="F15" s="20">
        <v>6</v>
      </c>
      <c r="G15" s="21">
        <v>4</v>
      </c>
      <c r="H15" s="21">
        <f t="shared" si="0"/>
        <v>24</v>
      </c>
      <c r="I15" s="34">
        <f t="shared" si="1"/>
        <v>2.0558506081891381E-3</v>
      </c>
      <c r="J15" s="22"/>
      <c r="K15" s="29"/>
    </row>
    <row r="16" spans="1:16" ht="18.75" x14ac:dyDescent="0.3">
      <c r="A16" s="85"/>
      <c r="B16" s="86"/>
      <c r="C16" s="15" t="s">
        <v>87</v>
      </c>
      <c r="D16" s="15" t="s">
        <v>100</v>
      </c>
      <c r="E16" s="36">
        <v>1</v>
      </c>
      <c r="F16" s="20">
        <v>6</v>
      </c>
      <c r="G16" s="21">
        <v>5</v>
      </c>
      <c r="H16" s="21">
        <f t="shared" si="0"/>
        <v>30</v>
      </c>
      <c r="I16" s="34">
        <f t="shared" si="1"/>
        <v>2.5698132602364229E-3</v>
      </c>
      <c r="J16" s="22"/>
      <c r="K16" s="29"/>
    </row>
    <row r="17" spans="1:11" ht="18.75" x14ac:dyDescent="0.3">
      <c r="A17" s="85"/>
      <c r="B17" s="86"/>
      <c r="C17" s="18" t="s">
        <v>79</v>
      </c>
      <c r="D17" s="18" t="s">
        <v>81</v>
      </c>
      <c r="E17" s="36">
        <v>1</v>
      </c>
      <c r="F17" s="20">
        <v>6</v>
      </c>
      <c r="G17" s="21">
        <v>10</v>
      </c>
      <c r="H17" s="21">
        <f t="shared" si="0"/>
        <v>60</v>
      </c>
      <c r="I17" s="34">
        <f t="shared" si="1"/>
        <v>5.1396265204728458E-3</v>
      </c>
      <c r="J17" s="22"/>
      <c r="K17" s="29"/>
    </row>
    <row r="18" spans="1:11" ht="18.75" x14ac:dyDescent="0.3">
      <c r="A18" s="85">
        <v>5</v>
      </c>
      <c r="B18" s="86" t="s">
        <v>20</v>
      </c>
      <c r="C18" s="18" t="s">
        <v>79</v>
      </c>
      <c r="D18" s="18" t="s">
        <v>81</v>
      </c>
      <c r="E18" s="36">
        <v>1</v>
      </c>
      <c r="F18" s="15">
        <v>3</v>
      </c>
      <c r="G18" s="23">
        <v>1</v>
      </c>
      <c r="H18" s="21">
        <f t="shared" si="0"/>
        <v>3</v>
      </c>
      <c r="I18" s="34">
        <f t="shared" si="1"/>
        <v>2.5698132602364226E-4</v>
      </c>
      <c r="J18" s="22"/>
      <c r="K18" s="29"/>
    </row>
    <row r="19" spans="1:11" ht="18.75" x14ac:dyDescent="0.3">
      <c r="A19" s="85"/>
      <c r="B19" s="86"/>
      <c r="C19" s="15" t="s">
        <v>87</v>
      </c>
      <c r="D19" s="15" t="s">
        <v>81</v>
      </c>
      <c r="E19" s="36">
        <v>1</v>
      </c>
      <c r="F19" s="20">
        <v>6</v>
      </c>
      <c r="G19" s="21">
        <v>4</v>
      </c>
      <c r="H19" s="21">
        <f t="shared" si="0"/>
        <v>24</v>
      </c>
      <c r="I19" s="34">
        <f t="shared" si="1"/>
        <v>2.0558506081891381E-3</v>
      </c>
      <c r="J19" s="22"/>
      <c r="K19" s="29"/>
    </row>
    <row r="20" spans="1:11" ht="18.75" x14ac:dyDescent="0.3">
      <c r="A20" s="85"/>
      <c r="B20" s="86"/>
      <c r="C20" s="15" t="s">
        <v>87</v>
      </c>
      <c r="D20" s="15" t="s">
        <v>81</v>
      </c>
      <c r="E20" s="36">
        <v>1</v>
      </c>
      <c r="F20" s="20">
        <v>6</v>
      </c>
      <c r="G20" s="21">
        <v>5</v>
      </c>
      <c r="H20" s="21">
        <f t="shared" si="0"/>
        <v>30</v>
      </c>
      <c r="I20" s="34">
        <f t="shared" si="1"/>
        <v>2.5698132602364229E-3</v>
      </c>
      <c r="J20" s="22"/>
      <c r="K20" s="29"/>
    </row>
    <row r="21" spans="1:11" ht="18.75" x14ac:dyDescent="0.3">
      <c r="A21" s="85"/>
      <c r="B21" s="86"/>
      <c r="C21" s="18" t="s">
        <v>79</v>
      </c>
      <c r="D21" s="18" t="s">
        <v>81</v>
      </c>
      <c r="E21" s="36">
        <v>1</v>
      </c>
      <c r="F21" s="20">
        <v>6</v>
      </c>
      <c r="G21" s="21">
        <v>10</v>
      </c>
      <c r="H21" s="21">
        <f t="shared" si="0"/>
        <v>60</v>
      </c>
      <c r="I21" s="34">
        <f t="shared" si="1"/>
        <v>5.1396265204728458E-3</v>
      </c>
      <c r="J21" s="22"/>
      <c r="K21" s="29"/>
    </row>
    <row r="22" spans="1:11" ht="18.75" x14ac:dyDescent="0.3">
      <c r="A22" s="85">
        <v>6</v>
      </c>
      <c r="B22" s="86" t="s">
        <v>25</v>
      </c>
      <c r="C22" s="18" t="s">
        <v>79</v>
      </c>
      <c r="D22" s="18" t="s">
        <v>81</v>
      </c>
      <c r="E22" s="36">
        <v>1</v>
      </c>
      <c r="F22" s="20">
        <v>1</v>
      </c>
      <c r="G22" s="21">
        <v>5</v>
      </c>
      <c r="H22" s="21">
        <f t="shared" si="0"/>
        <v>5</v>
      </c>
      <c r="I22" s="34">
        <f t="shared" si="1"/>
        <v>4.2830221003940382E-4</v>
      </c>
      <c r="J22" s="22"/>
      <c r="K22" s="29"/>
    </row>
    <row r="23" spans="1:11" ht="18.75" x14ac:dyDescent="0.3">
      <c r="A23" s="85"/>
      <c r="B23" s="86"/>
      <c r="C23" s="15" t="s">
        <v>87</v>
      </c>
      <c r="D23" s="15" t="s">
        <v>81</v>
      </c>
      <c r="E23" s="36">
        <v>1</v>
      </c>
      <c r="F23" s="20">
        <v>3</v>
      </c>
      <c r="G23" s="21">
        <v>5</v>
      </c>
      <c r="H23" s="21">
        <f t="shared" si="0"/>
        <v>15</v>
      </c>
      <c r="I23" s="34">
        <f t="shared" si="1"/>
        <v>1.2849066301182115E-3</v>
      </c>
      <c r="J23" s="22"/>
      <c r="K23" s="29"/>
    </row>
    <row r="24" spans="1:11" ht="18.75" x14ac:dyDescent="0.3">
      <c r="A24" s="85"/>
      <c r="B24" s="86"/>
      <c r="C24" s="15" t="s">
        <v>87</v>
      </c>
      <c r="D24" s="15" t="s">
        <v>81</v>
      </c>
      <c r="E24" s="36">
        <v>1</v>
      </c>
      <c r="F24" s="20">
        <v>3</v>
      </c>
      <c r="G24" s="21">
        <v>5</v>
      </c>
      <c r="H24" s="21">
        <f t="shared" si="0"/>
        <v>15</v>
      </c>
      <c r="I24" s="34">
        <f t="shared" si="1"/>
        <v>1.2849066301182115E-3</v>
      </c>
      <c r="J24" s="22"/>
      <c r="K24" s="29"/>
    </row>
    <row r="25" spans="1:11" ht="18.75" x14ac:dyDescent="0.3">
      <c r="A25" s="85"/>
      <c r="B25" s="86"/>
      <c r="C25" s="18" t="s">
        <v>79</v>
      </c>
      <c r="D25" s="18" t="s">
        <v>112</v>
      </c>
      <c r="E25" s="36">
        <v>1</v>
      </c>
      <c r="F25" s="20">
        <v>3</v>
      </c>
      <c r="G25" s="21">
        <v>5</v>
      </c>
      <c r="H25" s="21">
        <f t="shared" si="0"/>
        <v>15</v>
      </c>
      <c r="I25" s="34">
        <f t="shared" si="1"/>
        <v>1.2849066301182115E-3</v>
      </c>
      <c r="J25" s="22"/>
      <c r="K25" s="29"/>
    </row>
    <row r="26" spans="1:11" ht="18.75" x14ac:dyDescent="0.3">
      <c r="A26" s="85">
        <v>7</v>
      </c>
      <c r="B26" s="85" t="s">
        <v>30</v>
      </c>
      <c r="C26" s="18" t="s">
        <v>79</v>
      </c>
      <c r="D26" s="18" t="s">
        <v>112</v>
      </c>
      <c r="E26" s="36">
        <v>1</v>
      </c>
      <c r="F26" s="20">
        <v>1</v>
      </c>
      <c r="G26" s="21">
        <v>5</v>
      </c>
      <c r="H26" s="21">
        <f t="shared" si="0"/>
        <v>5</v>
      </c>
      <c r="I26" s="34">
        <f t="shared" si="1"/>
        <v>4.2830221003940382E-4</v>
      </c>
      <c r="J26" s="22"/>
      <c r="K26" s="29"/>
    </row>
    <row r="27" spans="1:11" ht="18.75" x14ac:dyDescent="0.3">
      <c r="A27" s="85"/>
      <c r="B27" s="85"/>
      <c r="C27" s="15" t="s">
        <v>87</v>
      </c>
      <c r="D27" s="15" t="s">
        <v>112</v>
      </c>
      <c r="E27" s="36">
        <v>1</v>
      </c>
      <c r="F27" s="20">
        <v>3</v>
      </c>
      <c r="G27" s="21">
        <v>1</v>
      </c>
      <c r="H27" s="21">
        <f t="shared" si="0"/>
        <v>3</v>
      </c>
      <c r="I27" s="34">
        <f t="shared" si="1"/>
        <v>2.5698132602364226E-4</v>
      </c>
      <c r="J27" s="22"/>
      <c r="K27" s="29"/>
    </row>
    <row r="28" spans="1:11" ht="18.75" x14ac:dyDescent="0.3">
      <c r="A28" s="85"/>
      <c r="B28" s="85"/>
      <c r="C28" s="15" t="s">
        <v>87</v>
      </c>
      <c r="D28" s="15" t="s">
        <v>112</v>
      </c>
      <c r="E28" s="36">
        <v>1</v>
      </c>
      <c r="F28" s="20">
        <v>3</v>
      </c>
      <c r="G28" s="21">
        <v>4</v>
      </c>
      <c r="H28" s="21">
        <f t="shared" si="0"/>
        <v>12</v>
      </c>
      <c r="I28" s="34">
        <f t="shared" si="1"/>
        <v>1.027925304094569E-3</v>
      </c>
      <c r="J28" s="22"/>
      <c r="K28" s="29"/>
    </row>
    <row r="29" spans="1:11" ht="18.75" x14ac:dyDescent="0.3">
      <c r="A29" s="85"/>
      <c r="B29" s="85"/>
      <c r="C29" s="18" t="s">
        <v>79</v>
      </c>
      <c r="D29" s="18" t="s">
        <v>112</v>
      </c>
      <c r="E29" s="36">
        <v>1</v>
      </c>
      <c r="F29" s="20">
        <v>3</v>
      </c>
      <c r="G29" s="21">
        <v>10</v>
      </c>
      <c r="H29" s="21">
        <f t="shared" si="0"/>
        <v>30</v>
      </c>
      <c r="I29" s="34">
        <f t="shared" si="1"/>
        <v>2.5698132602364229E-3</v>
      </c>
      <c r="J29" s="22"/>
      <c r="K29" s="29"/>
    </row>
    <row r="30" spans="1:11" ht="18.75" x14ac:dyDescent="0.3">
      <c r="A30" s="85">
        <v>8</v>
      </c>
      <c r="B30" s="85" t="s">
        <v>35</v>
      </c>
      <c r="C30" s="18" t="s">
        <v>79</v>
      </c>
      <c r="D30" s="18" t="s">
        <v>100</v>
      </c>
      <c r="E30" s="36">
        <v>1</v>
      </c>
      <c r="F30" s="20">
        <v>1</v>
      </c>
      <c r="G30" s="21">
        <v>10</v>
      </c>
      <c r="H30" s="21">
        <f t="shared" si="0"/>
        <v>10</v>
      </c>
      <c r="I30" s="34">
        <f t="shared" si="1"/>
        <v>8.5660442007880764E-4</v>
      </c>
      <c r="J30" s="22"/>
      <c r="K30" s="29"/>
    </row>
    <row r="31" spans="1:11" ht="18.75" x14ac:dyDescent="0.3">
      <c r="A31" s="85"/>
      <c r="B31" s="85"/>
      <c r="C31" s="15" t="s">
        <v>87</v>
      </c>
      <c r="D31" s="15" t="s">
        <v>100</v>
      </c>
      <c r="E31" s="36">
        <v>1</v>
      </c>
      <c r="F31" s="20">
        <v>3</v>
      </c>
      <c r="G31" s="21">
        <v>3</v>
      </c>
      <c r="H31" s="21">
        <f t="shared" si="0"/>
        <v>9</v>
      </c>
      <c r="I31" s="34">
        <f t="shared" si="1"/>
        <v>7.7094397807092683E-4</v>
      </c>
      <c r="J31" s="22"/>
      <c r="K31" s="29"/>
    </row>
    <row r="32" spans="1:11" ht="18.75" x14ac:dyDescent="0.3">
      <c r="A32" s="85"/>
      <c r="B32" s="85"/>
      <c r="C32" s="18" t="s">
        <v>79</v>
      </c>
      <c r="D32" s="18" t="s">
        <v>100</v>
      </c>
      <c r="E32" s="36">
        <v>1</v>
      </c>
      <c r="F32" s="20">
        <v>3</v>
      </c>
      <c r="G32" s="21">
        <v>2</v>
      </c>
      <c r="H32" s="21">
        <f t="shared" si="0"/>
        <v>6</v>
      </c>
      <c r="I32" s="34">
        <f t="shared" si="1"/>
        <v>5.1396265204728452E-4</v>
      </c>
      <c r="J32" s="22"/>
      <c r="K32" s="29"/>
    </row>
    <row r="33" spans="1:11" ht="18" customHeight="1" x14ac:dyDescent="0.3">
      <c r="A33" s="85"/>
      <c r="B33" s="85"/>
      <c r="C33" s="18" t="s">
        <v>79</v>
      </c>
      <c r="D33" s="18" t="s">
        <v>100</v>
      </c>
      <c r="E33" s="36">
        <v>1</v>
      </c>
      <c r="F33" s="20">
        <v>3</v>
      </c>
      <c r="G33" s="21">
        <v>5</v>
      </c>
      <c r="H33" s="21">
        <f t="shared" si="0"/>
        <v>15</v>
      </c>
      <c r="I33" s="34">
        <f t="shared" si="1"/>
        <v>1.2849066301182115E-3</v>
      </c>
      <c r="J33" s="22"/>
      <c r="K33" s="29"/>
    </row>
    <row r="34" spans="1:11" ht="18.75" x14ac:dyDescent="0.3">
      <c r="A34" s="85"/>
      <c r="B34" s="85"/>
      <c r="C34" s="15" t="s">
        <v>87</v>
      </c>
      <c r="D34" s="15" t="s">
        <v>100</v>
      </c>
      <c r="E34" s="36">
        <v>1</v>
      </c>
      <c r="F34" s="20">
        <v>3</v>
      </c>
      <c r="G34" s="21">
        <v>5</v>
      </c>
      <c r="H34" s="21">
        <f t="shared" si="0"/>
        <v>15</v>
      </c>
      <c r="I34" s="34">
        <f t="shared" si="1"/>
        <v>1.2849066301182115E-3</v>
      </c>
      <c r="J34" s="22"/>
      <c r="K34" s="29"/>
    </row>
    <row r="35" spans="1:11" ht="18.75" x14ac:dyDescent="0.3">
      <c r="A35" s="85"/>
      <c r="B35" s="85"/>
      <c r="C35" s="18" t="s">
        <v>79</v>
      </c>
      <c r="D35" s="18" t="s">
        <v>100</v>
      </c>
      <c r="E35" s="36">
        <v>1</v>
      </c>
      <c r="F35" s="20">
        <v>3</v>
      </c>
      <c r="G35" s="21">
        <v>5</v>
      </c>
      <c r="H35" s="21">
        <f t="shared" si="0"/>
        <v>15</v>
      </c>
      <c r="I35" s="34">
        <f t="shared" si="1"/>
        <v>1.2849066301182115E-3</v>
      </c>
      <c r="J35" s="22"/>
      <c r="K35" s="29"/>
    </row>
    <row r="36" spans="1:11" ht="18.75" x14ac:dyDescent="0.3">
      <c r="A36" s="7">
        <v>9</v>
      </c>
      <c r="B36" s="13" t="s">
        <v>40</v>
      </c>
      <c r="C36" s="15" t="s">
        <v>87</v>
      </c>
      <c r="D36" s="15" t="s">
        <v>81</v>
      </c>
      <c r="E36" s="36">
        <v>1</v>
      </c>
      <c r="F36" s="20">
        <v>100</v>
      </c>
      <c r="G36" s="21">
        <v>5</v>
      </c>
      <c r="H36" s="21">
        <f t="shared" si="0"/>
        <v>500</v>
      </c>
      <c r="I36" s="34">
        <f t="shared" si="1"/>
        <v>4.2830221003940377E-2</v>
      </c>
      <c r="J36" s="22"/>
      <c r="K36" s="29"/>
    </row>
    <row r="37" spans="1:11" ht="18.75" x14ac:dyDescent="0.3">
      <c r="A37" s="85">
        <v>10</v>
      </c>
      <c r="B37" s="85" t="s">
        <v>45</v>
      </c>
      <c r="C37" s="18" t="s">
        <v>79</v>
      </c>
      <c r="D37" s="18" t="s">
        <v>81</v>
      </c>
      <c r="E37" s="36">
        <v>1</v>
      </c>
      <c r="F37" s="20">
        <v>6</v>
      </c>
      <c r="G37" s="21">
        <v>8</v>
      </c>
      <c r="H37" s="21">
        <f t="shared" si="0"/>
        <v>48</v>
      </c>
      <c r="I37" s="34">
        <f t="shared" si="1"/>
        <v>4.1117012163782761E-3</v>
      </c>
      <c r="J37" s="22"/>
      <c r="K37" s="29"/>
    </row>
    <row r="38" spans="1:11" ht="18.75" x14ac:dyDescent="0.3">
      <c r="A38" s="85"/>
      <c r="B38" s="85"/>
      <c r="C38" s="15" t="s">
        <v>87</v>
      </c>
      <c r="D38" s="15" t="s">
        <v>81</v>
      </c>
      <c r="E38" s="36">
        <v>1</v>
      </c>
      <c r="F38" s="20">
        <v>6</v>
      </c>
      <c r="G38" s="21">
        <v>2</v>
      </c>
      <c r="H38" s="21">
        <f t="shared" si="0"/>
        <v>12</v>
      </c>
      <c r="I38" s="34">
        <f t="shared" si="1"/>
        <v>1.027925304094569E-3</v>
      </c>
      <c r="J38" s="22"/>
      <c r="K38" s="29"/>
    </row>
    <row r="39" spans="1:11" ht="18.75" x14ac:dyDescent="0.3">
      <c r="A39" s="85">
        <v>11</v>
      </c>
      <c r="B39" s="85" t="s">
        <v>53</v>
      </c>
      <c r="C39" s="18" t="s">
        <v>79</v>
      </c>
      <c r="D39" s="18" t="s">
        <v>81</v>
      </c>
      <c r="E39" s="36">
        <v>1</v>
      </c>
      <c r="F39" s="20">
        <v>1</v>
      </c>
      <c r="G39" s="21">
        <v>1</v>
      </c>
      <c r="H39" s="21">
        <f t="shared" si="0"/>
        <v>1</v>
      </c>
      <c r="I39" s="34">
        <f t="shared" si="1"/>
        <v>8.5660442007880766E-5</v>
      </c>
      <c r="J39" s="22"/>
      <c r="K39" s="29"/>
    </row>
    <row r="40" spans="1:11" ht="18.75" x14ac:dyDescent="0.3">
      <c r="A40" s="85"/>
      <c r="B40" s="85"/>
      <c r="C40" s="18" t="s">
        <v>79</v>
      </c>
      <c r="D40" s="18" t="s">
        <v>81</v>
      </c>
      <c r="E40" s="36">
        <v>1</v>
      </c>
      <c r="F40" s="20">
        <v>1</v>
      </c>
      <c r="G40" s="21">
        <v>1</v>
      </c>
      <c r="H40" s="21">
        <f t="shared" si="0"/>
        <v>1</v>
      </c>
      <c r="I40" s="34">
        <f t="shared" si="1"/>
        <v>8.5660442007880766E-5</v>
      </c>
      <c r="J40" s="22"/>
      <c r="K40" s="29"/>
    </row>
    <row r="41" spans="1:11" ht="18.75" x14ac:dyDescent="0.3">
      <c r="A41" s="85"/>
      <c r="B41" s="85"/>
      <c r="C41" s="18" t="s">
        <v>79</v>
      </c>
      <c r="D41" s="18" t="s">
        <v>81</v>
      </c>
      <c r="E41" s="36">
        <v>1</v>
      </c>
      <c r="F41" s="20">
        <v>1</v>
      </c>
      <c r="G41" s="21">
        <v>1</v>
      </c>
      <c r="H41" s="21">
        <f t="shared" si="0"/>
        <v>1</v>
      </c>
      <c r="I41" s="34">
        <f t="shared" si="1"/>
        <v>8.5660442007880766E-5</v>
      </c>
      <c r="J41" s="22"/>
      <c r="K41" s="29"/>
    </row>
    <row r="42" spans="1:11" ht="36.75" customHeight="1" x14ac:dyDescent="0.3">
      <c r="A42" s="15">
        <v>12</v>
      </c>
      <c r="B42" s="15" t="s">
        <v>129</v>
      </c>
      <c r="C42" s="18" t="s">
        <v>79</v>
      </c>
      <c r="D42" s="18" t="s">
        <v>81</v>
      </c>
      <c r="E42" s="36">
        <v>1</v>
      </c>
      <c r="F42" s="20">
        <v>1</v>
      </c>
      <c r="G42" s="21">
        <v>10</v>
      </c>
      <c r="H42" s="21">
        <f t="shared" si="0"/>
        <v>10</v>
      </c>
      <c r="I42" s="34">
        <f t="shared" si="1"/>
        <v>8.5660442007880764E-4</v>
      </c>
      <c r="J42" s="22"/>
      <c r="K42" s="29"/>
    </row>
    <row r="43" spans="1:11" ht="38.25" customHeight="1" x14ac:dyDescent="0.3">
      <c r="A43" s="15">
        <v>13</v>
      </c>
      <c r="B43" s="15" t="s">
        <v>131</v>
      </c>
      <c r="C43" s="15" t="s">
        <v>87</v>
      </c>
      <c r="D43" s="15" t="s">
        <v>81</v>
      </c>
      <c r="E43" s="36">
        <v>1</v>
      </c>
      <c r="F43" s="20">
        <v>1</v>
      </c>
      <c r="G43" s="21">
        <v>5</v>
      </c>
      <c r="H43" s="21">
        <f t="shared" si="0"/>
        <v>5</v>
      </c>
      <c r="I43" s="34">
        <f t="shared" si="1"/>
        <v>4.2830221003940382E-4</v>
      </c>
      <c r="J43" s="22"/>
      <c r="K43" s="29"/>
    </row>
  </sheetData>
  <mergeCells count="20">
    <mergeCell ref="A2:A5"/>
    <mergeCell ref="B2:B5"/>
    <mergeCell ref="A6:A8"/>
    <mergeCell ref="B6:B8"/>
    <mergeCell ref="A9:A13"/>
    <mergeCell ref="B9:B13"/>
    <mergeCell ref="A14:A17"/>
    <mergeCell ref="B14:B17"/>
    <mergeCell ref="A18:A21"/>
    <mergeCell ref="B18:B21"/>
    <mergeCell ref="A22:A25"/>
    <mergeCell ref="B22:B25"/>
    <mergeCell ref="A39:A41"/>
    <mergeCell ref="B39:B41"/>
    <mergeCell ref="A26:A29"/>
    <mergeCell ref="B26:B29"/>
    <mergeCell ref="A30:A35"/>
    <mergeCell ref="B30:B35"/>
    <mergeCell ref="A37:A38"/>
    <mergeCell ref="B37:B3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0A6E-75C7-4800-BC14-B3C987234FF7}">
  <sheetPr>
    <tabColor rgb="FFFFFF00"/>
  </sheetPr>
  <dimension ref="A1:X29"/>
  <sheetViews>
    <sheetView tabSelected="1" topLeftCell="D1" workbookViewId="0">
      <selection activeCell="H25" sqref="H25"/>
    </sheetView>
  </sheetViews>
  <sheetFormatPr defaultRowHeight="15" x14ac:dyDescent="0.25"/>
  <cols>
    <col min="1" max="1" width="12" customWidth="1"/>
    <col min="2" max="2" width="20.7109375" customWidth="1"/>
    <col min="3" max="3" width="10.42578125" customWidth="1"/>
    <col min="4" max="4" width="24.85546875" customWidth="1"/>
    <col min="5" max="5" width="11.7109375" bestFit="1" customWidth="1"/>
    <col min="6" max="6" width="16.140625" bestFit="1" customWidth="1"/>
    <col min="7" max="7" width="11.42578125" customWidth="1"/>
    <col min="8" max="8" width="28.140625" customWidth="1"/>
    <col min="9" max="13" width="9.140625" hidden="1" customWidth="1"/>
    <col min="14" max="14" width="0" hidden="1" customWidth="1"/>
    <col min="17" max="17" width="20.7109375" customWidth="1"/>
    <col min="18" max="18" width="14.28515625" bestFit="1" customWidth="1"/>
    <col min="19" max="19" width="13.85546875" customWidth="1"/>
    <col min="22" max="22" width="21" bestFit="1" customWidth="1"/>
    <col min="23" max="23" width="15.28515625" customWidth="1"/>
    <col min="24" max="24" width="14.5703125" customWidth="1"/>
  </cols>
  <sheetData>
    <row r="1" spans="1:24" ht="27.75" customHeight="1" x14ac:dyDescent="0.25">
      <c r="A1" s="111" t="s">
        <v>61</v>
      </c>
      <c r="B1" s="111"/>
      <c r="C1" s="43" t="s">
        <v>134</v>
      </c>
      <c r="D1" s="43" t="s">
        <v>60</v>
      </c>
      <c r="E1" s="43" t="s">
        <v>135</v>
      </c>
      <c r="F1" s="43" t="s">
        <v>136</v>
      </c>
      <c r="G1" s="43" t="s">
        <v>135</v>
      </c>
      <c r="H1" s="43" t="s">
        <v>137</v>
      </c>
      <c r="I1" t="s">
        <v>138</v>
      </c>
      <c r="J1" t="s">
        <v>139</v>
      </c>
      <c r="P1" s="122" t="s">
        <v>61</v>
      </c>
      <c r="Q1" s="122"/>
      <c r="R1" s="123" t="s">
        <v>162</v>
      </c>
      <c r="S1" s="123" t="s">
        <v>161</v>
      </c>
      <c r="U1" s="122" t="s">
        <v>61</v>
      </c>
      <c r="V1" s="122"/>
      <c r="W1" s="123" t="s">
        <v>162</v>
      </c>
      <c r="X1" s="123" t="s">
        <v>161</v>
      </c>
    </row>
    <row r="2" spans="1:24" ht="16.5" x14ac:dyDescent="0.25">
      <c r="A2" s="112" t="s">
        <v>100</v>
      </c>
      <c r="B2" s="112" t="s">
        <v>140</v>
      </c>
      <c r="C2" s="110">
        <f>I2/127</f>
        <v>0.14173228346456693</v>
      </c>
      <c r="D2" s="42" t="s">
        <v>79</v>
      </c>
      <c r="E2" s="74">
        <f>1-E3</f>
        <v>0.6</v>
      </c>
      <c r="F2" s="69">
        <f>E2*C2*$F$17</f>
        <v>1296</v>
      </c>
      <c r="G2" s="69">
        <f>1-G3</f>
        <v>0.72899999999999998</v>
      </c>
      <c r="H2" s="69">
        <f>G2*C2*$F$17</f>
        <v>1574.6399999999999</v>
      </c>
      <c r="I2" s="109">
        <v>18</v>
      </c>
      <c r="J2">
        <v>18</v>
      </c>
      <c r="P2" s="117" t="s">
        <v>100</v>
      </c>
      <c r="Q2" s="118" t="s">
        <v>140</v>
      </c>
      <c r="R2" s="121">
        <f>F3</f>
        <v>864</v>
      </c>
      <c r="S2" s="121">
        <f>F2</f>
        <v>1296</v>
      </c>
      <c r="U2" s="117" t="s">
        <v>100</v>
      </c>
      <c r="V2" s="118" t="s">
        <v>140</v>
      </c>
      <c r="W2" s="121">
        <f>H3</f>
        <v>585.36000000000013</v>
      </c>
      <c r="X2" s="121">
        <f>H2</f>
        <v>1574.6399999999999</v>
      </c>
    </row>
    <row r="3" spans="1:24" ht="16.5" x14ac:dyDescent="0.25">
      <c r="A3" s="112"/>
      <c r="B3" s="112"/>
      <c r="C3" s="110"/>
      <c r="D3" s="42" t="s">
        <v>87</v>
      </c>
      <c r="E3" s="74">
        <f>Sheet2!J47</f>
        <v>0.4</v>
      </c>
      <c r="F3" s="69">
        <f>E3*C2*$F$17</f>
        <v>864</v>
      </c>
      <c r="G3" s="69">
        <f>Sheet2!L47</f>
        <v>0.27100000000000002</v>
      </c>
      <c r="H3" s="69">
        <f>G3*C2*$F$17</f>
        <v>585.36000000000013</v>
      </c>
      <c r="I3" s="109"/>
      <c r="P3" s="119"/>
      <c r="Q3" s="118" t="s">
        <v>141</v>
      </c>
      <c r="R3" s="121">
        <f>F5</f>
        <v>249.00000000000003</v>
      </c>
      <c r="S3" s="121">
        <f>F4</f>
        <v>350.99999999999994</v>
      </c>
      <c r="U3" s="119"/>
      <c r="V3" s="118" t="s">
        <v>141</v>
      </c>
      <c r="W3" s="121">
        <f>H5</f>
        <v>176.58</v>
      </c>
      <c r="X3" s="121">
        <f>H4</f>
        <v>423.41999999999996</v>
      </c>
    </row>
    <row r="4" spans="1:24" ht="16.5" x14ac:dyDescent="0.25">
      <c r="A4" s="112"/>
      <c r="B4" s="112" t="s">
        <v>141</v>
      </c>
      <c r="C4" s="110">
        <f>I4/127</f>
        <v>3.937007874015748E-2</v>
      </c>
      <c r="D4" s="42" t="s">
        <v>79</v>
      </c>
      <c r="E4" s="74">
        <f>1-E5</f>
        <v>0.58499999999999996</v>
      </c>
      <c r="F4" s="69">
        <f>E4*C4*$F$17</f>
        <v>350.99999999999994</v>
      </c>
      <c r="G4" s="69">
        <f>1-G5</f>
        <v>0.70569999999999999</v>
      </c>
      <c r="H4" s="69">
        <f>G4*C4*$F$17</f>
        <v>423.41999999999996</v>
      </c>
      <c r="I4" s="109">
        <v>5</v>
      </c>
      <c r="J4">
        <v>4</v>
      </c>
      <c r="P4" s="120"/>
      <c r="Q4" s="118" t="s">
        <v>142</v>
      </c>
      <c r="R4" s="121">
        <f>F7</f>
        <v>1137.1200000000003</v>
      </c>
      <c r="S4" s="121">
        <f>F6</f>
        <v>1622.8799999999997</v>
      </c>
      <c r="U4" s="120"/>
      <c r="V4" s="118" t="s">
        <v>142</v>
      </c>
      <c r="W4" s="121">
        <f>H7</f>
        <v>803.7120000000001</v>
      </c>
      <c r="X4" s="121">
        <f>H6</f>
        <v>1956.2880000000002</v>
      </c>
    </row>
    <row r="5" spans="1:24" ht="16.5" x14ac:dyDescent="0.25">
      <c r="A5" s="112"/>
      <c r="B5" s="112"/>
      <c r="C5" s="110"/>
      <c r="D5" s="42" t="s">
        <v>87</v>
      </c>
      <c r="E5" s="74">
        <f>Sheet2!F47</f>
        <v>0.41500000000000004</v>
      </c>
      <c r="F5" s="69">
        <f>E5*C4*$F$17</f>
        <v>249.00000000000003</v>
      </c>
      <c r="G5" s="69">
        <f>Sheet2!H47</f>
        <v>0.29430000000000001</v>
      </c>
      <c r="H5" s="69">
        <f>G5*C4*$F$17</f>
        <v>176.58</v>
      </c>
      <c r="I5" s="109"/>
      <c r="P5" s="117" t="s">
        <v>144</v>
      </c>
      <c r="Q5" s="118" t="s">
        <v>145</v>
      </c>
      <c r="R5" s="121">
        <f>F9</f>
        <v>1466.4</v>
      </c>
      <c r="S5" s="121">
        <f>F8</f>
        <v>1653.5999999999997</v>
      </c>
      <c r="U5" s="117" t="s">
        <v>144</v>
      </c>
      <c r="V5" s="118" t="s">
        <v>145</v>
      </c>
      <c r="W5" s="121">
        <f>H9</f>
        <v>1004.6400000000002</v>
      </c>
      <c r="X5" s="121">
        <f>H8</f>
        <v>2115.3599999999997</v>
      </c>
    </row>
    <row r="6" spans="1:24" ht="16.5" x14ac:dyDescent="0.25">
      <c r="A6" s="112"/>
      <c r="B6" s="112" t="s">
        <v>142</v>
      </c>
      <c r="C6" s="110">
        <f>I6/127</f>
        <v>0.18110236220472442</v>
      </c>
      <c r="D6" s="42" t="s">
        <v>79</v>
      </c>
      <c r="E6" s="74">
        <f>1-E7</f>
        <v>0.58799999999999986</v>
      </c>
      <c r="F6" s="69">
        <f>E6*C6*$F$17</f>
        <v>1622.8799999999997</v>
      </c>
      <c r="G6" s="69">
        <f>1-G7</f>
        <v>0.70879999999999999</v>
      </c>
      <c r="H6" s="69">
        <f t="shared" ref="H4:H12" si="0">G6*C6*$F$17</f>
        <v>1956.2880000000002</v>
      </c>
      <c r="I6" s="109">
        <v>23</v>
      </c>
      <c r="J6">
        <v>18</v>
      </c>
      <c r="K6" t="s">
        <v>143</v>
      </c>
      <c r="P6" s="119"/>
      <c r="Q6" s="118" t="s">
        <v>148</v>
      </c>
      <c r="R6" s="121">
        <f>F11</f>
        <v>2265.6000000000004</v>
      </c>
      <c r="S6" s="121">
        <f>F10</f>
        <v>1574.3999999999996</v>
      </c>
      <c r="U6" s="119"/>
      <c r="V6" s="118" t="s">
        <v>148</v>
      </c>
      <c r="W6" s="121">
        <f>H11</f>
        <v>1593.6000000000004</v>
      </c>
      <c r="X6" s="121">
        <f>H10</f>
        <v>2246.3999999999996</v>
      </c>
    </row>
    <row r="7" spans="1:24" ht="16.5" x14ac:dyDescent="0.25">
      <c r="A7" s="112"/>
      <c r="B7" s="112"/>
      <c r="C7" s="110"/>
      <c r="D7" s="42" t="s">
        <v>87</v>
      </c>
      <c r="E7" s="74">
        <f>Sheet2!N47</f>
        <v>0.41200000000000009</v>
      </c>
      <c r="F7" s="69">
        <f>E7*C6*$F$17</f>
        <v>1137.1200000000003</v>
      </c>
      <c r="G7" s="69">
        <f>Sheet2!P47</f>
        <v>0.29120000000000001</v>
      </c>
      <c r="H7" s="69">
        <f>G7*C6*$F$17</f>
        <v>803.7120000000001</v>
      </c>
      <c r="I7" s="109"/>
      <c r="P7" s="119"/>
      <c r="Q7" s="126" t="s">
        <v>149</v>
      </c>
      <c r="R7" s="121">
        <f>F13</f>
        <v>1711.2000000000003</v>
      </c>
      <c r="S7" s="121">
        <f>F12</f>
        <v>1048.7999999999997</v>
      </c>
      <c r="U7" s="119"/>
      <c r="V7" s="126" t="s">
        <v>149</v>
      </c>
      <c r="W7" s="121">
        <f>H13</f>
        <v>1203.3600000000001</v>
      </c>
      <c r="X7" s="121">
        <f>H12</f>
        <v>1556.64</v>
      </c>
    </row>
    <row r="8" spans="1:24" ht="16.5" x14ac:dyDescent="0.25">
      <c r="A8" s="112" t="s">
        <v>144</v>
      </c>
      <c r="B8" s="112" t="s">
        <v>145</v>
      </c>
      <c r="C8" s="110">
        <f>I8/127</f>
        <v>0.20472440944881889</v>
      </c>
      <c r="D8" s="42" t="s">
        <v>79</v>
      </c>
      <c r="E8" s="74">
        <f>1-E9</f>
        <v>0.52999999999999992</v>
      </c>
      <c r="F8" s="69">
        <f>E8*C8*$F$17</f>
        <v>1653.5999999999997</v>
      </c>
      <c r="G8" s="69">
        <f>1-G9</f>
        <v>0.67799999999999994</v>
      </c>
      <c r="H8" s="69">
        <f t="shared" si="0"/>
        <v>2115.3599999999997</v>
      </c>
      <c r="I8" s="109">
        <v>26</v>
      </c>
      <c r="J8">
        <v>18</v>
      </c>
      <c r="K8" t="s">
        <v>146</v>
      </c>
      <c r="P8" s="127" t="s">
        <v>163</v>
      </c>
      <c r="Q8" s="127"/>
      <c r="R8" s="124">
        <f>SUM(R2:R7)</f>
        <v>7693.3200000000015</v>
      </c>
      <c r="S8" s="125">
        <f>SUM(S2:S7)</f>
        <v>7546.6799999999985</v>
      </c>
      <c r="U8" s="127" t="s">
        <v>163</v>
      </c>
      <c r="V8" s="127"/>
      <c r="W8" s="124">
        <f>SUM(W2:W7)</f>
        <v>5367.2520000000004</v>
      </c>
      <c r="X8" s="125">
        <f>SUM(X2:X7)</f>
        <v>9872.7479999999996</v>
      </c>
    </row>
    <row r="9" spans="1:24" ht="16.5" x14ac:dyDescent="0.25">
      <c r="A9" s="112"/>
      <c r="B9" s="112"/>
      <c r="C9" s="110"/>
      <c r="D9" s="42" t="s">
        <v>87</v>
      </c>
      <c r="E9" s="74">
        <f>Sheet2!R47</f>
        <v>0.47000000000000008</v>
      </c>
      <c r="F9" s="69">
        <f>E9*C8*$F$17</f>
        <v>1466.4</v>
      </c>
      <c r="G9" s="69">
        <f>Sheet2!T47</f>
        <v>0.32200000000000006</v>
      </c>
      <c r="H9" s="69">
        <f>G9*C8*$F$17</f>
        <v>1004.6400000000002</v>
      </c>
      <c r="I9" s="109"/>
      <c r="K9" t="s">
        <v>147</v>
      </c>
    </row>
    <row r="10" spans="1:24" ht="16.5" x14ac:dyDescent="0.25">
      <c r="A10" s="112"/>
      <c r="B10" s="112" t="s">
        <v>148</v>
      </c>
      <c r="C10" s="110">
        <f>I10/127</f>
        <v>0.25196850393700787</v>
      </c>
      <c r="D10" s="42" t="s">
        <v>79</v>
      </c>
      <c r="E10" s="74">
        <f>1-E11</f>
        <v>0.40999999999999992</v>
      </c>
      <c r="F10" s="69">
        <f>E10*C10*$F$17</f>
        <v>1574.3999999999996</v>
      </c>
      <c r="G10" s="69">
        <f>1-G11</f>
        <v>0.58499999999999996</v>
      </c>
      <c r="H10" s="69">
        <f t="shared" si="0"/>
        <v>2246.3999999999996</v>
      </c>
      <c r="I10" s="109">
        <v>32</v>
      </c>
      <c r="J10">
        <v>28</v>
      </c>
    </row>
    <row r="11" spans="1:24" ht="16.5" x14ac:dyDescent="0.25">
      <c r="A11" s="112"/>
      <c r="B11" s="112"/>
      <c r="C11" s="110"/>
      <c r="D11" s="42" t="s">
        <v>87</v>
      </c>
      <c r="E11" s="74">
        <f>Sheet2!V47</f>
        <v>0.59000000000000008</v>
      </c>
      <c r="F11" s="69">
        <f>E11*C10*$F$17</f>
        <v>2265.6000000000004</v>
      </c>
      <c r="G11" s="69">
        <f>Sheet2!X47</f>
        <v>0.41500000000000009</v>
      </c>
      <c r="H11" s="69">
        <f>G11*C10*$F$17</f>
        <v>1593.6000000000004</v>
      </c>
      <c r="I11" s="109"/>
      <c r="K11" t="s">
        <v>147</v>
      </c>
    </row>
    <row r="12" spans="1:24" ht="16.5" x14ac:dyDescent="0.25">
      <c r="A12" s="112"/>
      <c r="B12" s="112" t="s">
        <v>149</v>
      </c>
      <c r="C12" s="110">
        <f>I12/127</f>
        <v>0.18110236220472442</v>
      </c>
      <c r="D12" s="42" t="s">
        <v>79</v>
      </c>
      <c r="E12" s="74">
        <f>1-E13</f>
        <v>0.37999999999999989</v>
      </c>
      <c r="F12" s="69">
        <f>E12*C12*$F$17</f>
        <v>1048.7999999999997</v>
      </c>
      <c r="G12" s="69">
        <f>1-G13</f>
        <v>0.56399999999999995</v>
      </c>
      <c r="H12" s="69">
        <f t="shared" si="0"/>
        <v>1556.64</v>
      </c>
      <c r="I12" s="109">
        <v>23</v>
      </c>
      <c r="J12">
        <v>15</v>
      </c>
      <c r="K12" t="s">
        <v>150</v>
      </c>
    </row>
    <row r="13" spans="1:24" ht="16.5" x14ac:dyDescent="0.25">
      <c r="A13" s="112"/>
      <c r="B13" s="112"/>
      <c r="C13" s="110"/>
      <c r="D13" s="42" t="s">
        <v>87</v>
      </c>
      <c r="E13" s="74">
        <f>Sheet2!Z47</f>
        <v>0.62000000000000011</v>
      </c>
      <c r="F13" s="69">
        <f>E13*C12*$F$17</f>
        <v>1711.2000000000003</v>
      </c>
      <c r="G13" s="69">
        <f>Sheet2!AB47</f>
        <v>0.43600000000000005</v>
      </c>
      <c r="H13" s="69">
        <f>G13*C12*$F$17</f>
        <v>1203.3600000000001</v>
      </c>
      <c r="I13" s="109"/>
      <c r="K13" t="s">
        <v>151</v>
      </c>
    </row>
    <row r="14" spans="1:24" ht="16.5" x14ac:dyDescent="0.25">
      <c r="A14" s="42"/>
      <c r="B14" s="42"/>
      <c r="C14" s="42"/>
      <c r="D14" s="115" t="s">
        <v>152</v>
      </c>
      <c r="E14" s="115"/>
      <c r="F14" s="42">
        <f>SUM(F2,F4,F6,F8,F10,F12)</f>
        <v>7546.6799999999985</v>
      </c>
      <c r="G14" s="41"/>
      <c r="H14" s="75">
        <f>SUM(H2,H4,H6,H8,H10,H12)</f>
        <v>9872.7479999999996</v>
      </c>
    </row>
    <row r="15" spans="1:24" ht="16.5" x14ac:dyDescent="0.25">
      <c r="A15" s="42"/>
      <c r="B15" s="42"/>
      <c r="C15" s="42"/>
      <c r="D15" s="115" t="s">
        <v>153</v>
      </c>
      <c r="E15" s="115"/>
      <c r="F15" s="42">
        <f>SUM(F3,F5,F7,F9,F11,F13)</f>
        <v>7693.3200000000015</v>
      </c>
      <c r="G15" s="41"/>
      <c r="H15" s="75">
        <f>SUM(H3,H5,H7,H9,H11,H13)</f>
        <v>5367.2520000000004</v>
      </c>
    </row>
    <row r="16" spans="1:24" ht="16.5" x14ac:dyDescent="0.25">
      <c r="A16" s="42"/>
      <c r="B16" s="42"/>
      <c r="C16" s="42"/>
      <c r="D16" s="116" t="s">
        <v>154</v>
      </c>
      <c r="E16" s="116"/>
      <c r="F16" s="116"/>
      <c r="G16" s="116"/>
      <c r="H16" s="76">
        <f>(F15-H15)/F17</f>
        <v>0.15262913385826779</v>
      </c>
      <c r="K16" t="s">
        <v>155</v>
      </c>
      <c r="L16">
        <v>8</v>
      </c>
    </row>
    <row r="17" spans="4:12" ht="16.5" x14ac:dyDescent="0.25">
      <c r="D17" s="113" t="s">
        <v>156</v>
      </c>
      <c r="E17" s="114">
        <f>Sheet2!AO1</f>
        <v>15240</v>
      </c>
      <c r="F17" s="81">
        <f>Sheet2!AO1</f>
        <v>15240</v>
      </c>
      <c r="I17">
        <f>SUM(I2:I13)</f>
        <v>127</v>
      </c>
      <c r="K17" t="s">
        <v>157</v>
      </c>
      <c r="L17">
        <v>3</v>
      </c>
    </row>
    <row r="18" spans="4:12" x14ac:dyDescent="0.25">
      <c r="F18">
        <f>52*8*5</f>
        <v>2080</v>
      </c>
      <c r="I18" t="s">
        <v>158</v>
      </c>
      <c r="K18" t="s">
        <v>159</v>
      </c>
      <c r="L18">
        <v>14</v>
      </c>
    </row>
    <row r="19" spans="4:12" x14ac:dyDescent="0.25">
      <c r="K19" t="s">
        <v>160</v>
      </c>
      <c r="L19">
        <v>1</v>
      </c>
    </row>
    <row r="29" spans="4:12" x14ac:dyDescent="0.25">
      <c r="F29" s="41"/>
    </row>
  </sheetData>
  <mergeCells count="33">
    <mergeCell ref="U1:V1"/>
    <mergeCell ref="U2:U4"/>
    <mergeCell ref="U5:U7"/>
    <mergeCell ref="U8:V8"/>
    <mergeCell ref="P2:P4"/>
    <mergeCell ref="P5:P7"/>
    <mergeCell ref="P8:Q8"/>
    <mergeCell ref="P1:Q1"/>
    <mergeCell ref="D17:E17"/>
    <mergeCell ref="A8:A13"/>
    <mergeCell ref="D14:E14"/>
    <mergeCell ref="D15:E15"/>
    <mergeCell ref="B12:B13"/>
    <mergeCell ref="C8:C9"/>
    <mergeCell ref="B8:B9"/>
    <mergeCell ref="B10:B11"/>
    <mergeCell ref="D16:G16"/>
    <mergeCell ref="I12:I13"/>
    <mergeCell ref="C10:C11"/>
    <mergeCell ref="C12:C13"/>
    <mergeCell ref="A1:B1"/>
    <mergeCell ref="C2:C3"/>
    <mergeCell ref="C4:C5"/>
    <mergeCell ref="C6:C7"/>
    <mergeCell ref="A2:A7"/>
    <mergeCell ref="B2:B3"/>
    <mergeCell ref="B4:B5"/>
    <mergeCell ref="B6:B7"/>
    <mergeCell ref="I2:I3"/>
    <mergeCell ref="I4:I5"/>
    <mergeCell ref="I6:I7"/>
    <mergeCell ref="I8:I9"/>
    <mergeCell ref="I10:I11"/>
  </mergeCells>
  <conditionalFormatting sqref="R2:S7">
    <cfRule type="colorScale" priority="4">
      <colorScale>
        <cfvo type="min"/>
        <cfvo type="percentile" val="50"/>
        <cfvo type="max"/>
        <color rgb="FF5A8AC6"/>
        <color rgb="FFFCFCFF"/>
        <color rgb="FFF8696B"/>
      </colorScale>
    </cfRule>
  </conditionalFormatting>
  <conditionalFormatting sqref="R2:S8">
    <cfRule type="colorScale" priority="3">
      <colorScale>
        <cfvo type="min"/>
        <cfvo type="percentile" val="50"/>
        <cfvo type="max"/>
        <color rgb="FF5A8AC6"/>
        <color rgb="FFFCFCFF"/>
        <color rgb="FFF8696B"/>
      </colorScale>
    </cfRule>
  </conditionalFormatting>
  <conditionalFormatting sqref="W2:X7">
    <cfRule type="colorScale" priority="2">
      <colorScale>
        <cfvo type="min"/>
        <cfvo type="percentile" val="50"/>
        <cfvo type="max"/>
        <color rgb="FF5A8AC6"/>
        <color rgb="FFFCFCFF"/>
        <color rgb="FFF8696B"/>
      </colorScale>
    </cfRule>
  </conditionalFormatting>
  <conditionalFormatting sqref="W2:X8">
    <cfRule type="colorScale" priority="1">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Sheet1</vt:lpstr>
      <vt:lpstr>Sheet2</vt:lpstr>
      <vt:lpstr>Trang_tính1</vt:lpstr>
      <vt:lpstr>Sheet3</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PECC2</cp:lastModifiedBy>
  <cp:revision/>
  <dcterms:created xsi:type="dcterms:W3CDTF">2015-06-05T18:17:20Z</dcterms:created>
  <dcterms:modified xsi:type="dcterms:W3CDTF">2022-01-05T04:08:09Z</dcterms:modified>
  <cp:category/>
  <cp:contentStatus/>
</cp:coreProperties>
</file>