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activeTab="1"/>
  </bookViews>
  <sheets>
    <sheet name="GUIDE" sheetId="4" r:id="rId1"/>
    <sheet name="SOLAR&amp;WIND-TYPE4" sheetId="1" r:id="rId2"/>
    <sheet name="WIND-TYPE3 CHO KB BDCS" sheetId="2" r:id="rId3"/>
    <sheet name="WIND-TYPE3 CHO KB NGAN MACH" sheetId="5" r:id="rId4"/>
  </sheets>
  <calcPr calcId="152511"/>
</workbook>
</file>

<file path=xl/calcChain.xml><?xml version="1.0" encoding="utf-8"?>
<calcChain xmlns="http://schemas.openxmlformats.org/spreadsheetml/2006/main">
  <c r="C46" i="5" l="1"/>
  <c r="O14" i="5" s="1"/>
  <c r="P19" i="5" a="1"/>
  <c r="R19" i="5" s="1"/>
  <c r="E19" i="5"/>
  <c r="X18" i="5"/>
  <c r="W18" i="5"/>
  <c r="U18" i="5"/>
  <c r="T18" i="5"/>
  <c r="S18" i="5"/>
  <c r="R18" i="5"/>
  <c r="P18" i="5" a="1"/>
  <c r="Q18" i="5" s="1"/>
  <c r="E18" i="5"/>
  <c r="Z17" i="5"/>
  <c r="Y17" i="5"/>
  <c r="X17" i="5"/>
  <c r="V17" i="5"/>
  <c r="U17" i="5"/>
  <c r="T17" i="5"/>
  <c r="S17" i="5"/>
  <c r="Q17" i="5" a="1"/>
  <c r="R17" i="5" s="1"/>
  <c r="E17" i="5"/>
  <c r="P16" i="5" a="1"/>
  <c r="T16" i="5" s="1"/>
  <c r="E16" i="5"/>
  <c r="X15" i="5" a="1"/>
  <c r="AQ15" i="5" s="1"/>
  <c r="U15" i="5"/>
  <c r="T15" i="5"/>
  <c r="O15" i="5"/>
  <c r="E15" i="5"/>
  <c r="AH14" i="5"/>
  <c r="AA14" i="5"/>
  <c r="W14" i="5"/>
  <c r="V14" i="5"/>
  <c r="Q14" i="5" a="1"/>
  <c r="AG14" i="5" s="1"/>
  <c r="P14" i="5"/>
  <c r="E14" i="5"/>
  <c r="E13" i="5"/>
  <c r="U19" i="5" l="1"/>
  <c r="S19" i="5"/>
  <c r="T19" i="5"/>
  <c r="AD15" i="5"/>
  <c r="BC15" i="5"/>
  <c r="X14" i="5"/>
  <c r="AF15" i="5"/>
  <c r="AR15" i="5"/>
  <c r="BD15" i="5"/>
  <c r="BP15" i="5"/>
  <c r="CB15" i="5"/>
  <c r="Y14" i="5"/>
  <c r="AG15" i="5"/>
  <c r="AS15" i="5"/>
  <c r="BE15" i="5"/>
  <c r="BQ15" i="5"/>
  <c r="CC15" i="5"/>
  <c r="P16" i="5"/>
  <c r="Z14" i="5"/>
  <c r="AH15" i="5"/>
  <c r="AT15" i="5"/>
  <c r="BF15" i="5"/>
  <c r="BR15" i="5"/>
  <c r="CD15" i="5"/>
  <c r="Q16" i="5"/>
  <c r="W17" i="5"/>
  <c r="V18" i="5"/>
  <c r="BN15" i="5"/>
  <c r="AE15" i="5"/>
  <c r="AI15" i="5"/>
  <c r="AU15" i="5"/>
  <c r="BG15" i="5"/>
  <c r="BS15" i="5"/>
  <c r="CE15" i="5"/>
  <c r="R16" i="5"/>
  <c r="AB14" i="5"/>
  <c r="X15" i="5"/>
  <c r="AV15" i="5"/>
  <c r="BH15" i="5"/>
  <c r="CF15" i="5"/>
  <c r="S16" i="5"/>
  <c r="Y15" i="5"/>
  <c r="BI15" i="5"/>
  <c r="CG15" i="5"/>
  <c r="AL15" i="5"/>
  <c r="S14" i="5"/>
  <c r="AA15" i="5"/>
  <c r="AM15" i="5"/>
  <c r="AY15" i="5"/>
  <c r="BK15" i="5"/>
  <c r="BW15" i="5"/>
  <c r="P19" i="5"/>
  <c r="T14" i="5"/>
  <c r="AF14" i="5"/>
  <c r="AB15" i="5"/>
  <c r="AN15" i="5"/>
  <c r="AZ15" i="5"/>
  <c r="BL15" i="5"/>
  <c r="BX15" i="5"/>
  <c r="CJ15" i="5"/>
  <c r="Q17" i="5"/>
  <c r="P18" i="5"/>
  <c r="Q19" i="5"/>
  <c r="AP15" i="5"/>
  <c r="BB15" i="5"/>
  <c r="CL15" i="5"/>
  <c r="BO15" i="5"/>
  <c r="CA15" i="5"/>
  <c r="AJ15" i="5"/>
  <c r="BT15" i="5"/>
  <c r="Q14" i="5"/>
  <c r="AC14" i="5"/>
  <c r="AK15" i="5"/>
  <c r="AW15" i="5"/>
  <c r="BU15" i="5"/>
  <c r="R14" i="5"/>
  <c r="AD14" i="5"/>
  <c r="Z15" i="5"/>
  <c r="AX15" i="5"/>
  <c r="BJ15" i="5"/>
  <c r="BV15" i="5"/>
  <c r="CH15" i="5"/>
  <c r="AE14" i="5"/>
  <c r="CI15" i="5"/>
  <c r="U14" i="5"/>
  <c r="AC15" i="5"/>
  <c r="AO15" i="5"/>
  <c r="BA15" i="5"/>
  <c r="BM15" i="5"/>
  <c r="BY15" i="5"/>
  <c r="CK15" i="5"/>
  <c r="BZ15" i="5"/>
  <c r="P19" i="2" a="1"/>
  <c r="S19" i="2" s="1"/>
  <c r="P18" i="2" a="1"/>
  <c r="P18" i="2" s="1"/>
  <c r="Q17" i="2" a="1"/>
  <c r="S17" i="2" s="1"/>
  <c r="P16" i="2" a="1"/>
  <c r="T16" i="2" s="1"/>
  <c r="X15" i="2" a="1"/>
  <c r="AB15" i="2" s="1"/>
  <c r="U15" i="2"/>
  <c r="T15" i="2"/>
  <c r="O15" i="2"/>
  <c r="Q14" i="2" a="1"/>
  <c r="AB14" i="2" s="1"/>
  <c r="P14" i="2"/>
  <c r="C46" i="2"/>
  <c r="O14" i="2" s="1"/>
  <c r="E19" i="2"/>
  <c r="E18" i="2"/>
  <c r="E15" i="2"/>
  <c r="E16" i="2"/>
  <c r="E17" i="2"/>
  <c r="E14" i="2"/>
  <c r="E13" i="2"/>
  <c r="U19" i="2" l="1"/>
  <c r="Q19" i="2"/>
  <c r="T19" i="2"/>
  <c r="R19" i="2"/>
  <c r="P19" i="2"/>
  <c r="X18" i="2"/>
  <c r="W18" i="2"/>
  <c r="V18" i="2"/>
  <c r="U18" i="2"/>
  <c r="T18" i="2"/>
  <c r="S18" i="2"/>
  <c r="R18" i="2"/>
  <c r="Q18" i="2"/>
  <c r="Q17" i="2"/>
  <c r="X17" i="2"/>
  <c r="V17" i="2"/>
  <c r="U17" i="2"/>
  <c r="Z17" i="2"/>
  <c r="T17" i="2"/>
  <c r="R17" i="2"/>
  <c r="Y17" i="2"/>
  <c r="W17" i="2"/>
  <c r="S16" i="2"/>
  <c r="R16" i="2"/>
  <c r="Q16" i="2"/>
  <c r="P16" i="2"/>
  <c r="AX15" i="2"/>
  <c r="CI15" i="2"/>
  <c r="BW15" i="2"/>
  <c r="BK15" i="2"/>
  <c r="AY15" i="2"/>
  <c r="AM15" i="2"/>
  <c r="AA15" i="2"/>
  <c r="CH15" i="2"/>
  <c r="BV15" i="2"/>
  <c r="BJ15" i="2"/>
  <c r="AL15" i="2"/>
  <c r="Z15" i="2"/>
  <c r="CG15" i="2"/>
  <c r="BU15" i="2"/>
  <c r="BI15" i="2"/>
  <c r="AW15" i="2"/>
  <c r="AK15" i="2"/>
  <c r="Y15" i="2"/>
  <c r="CF15" i="2"/>
  <c r="BT15" i="2"/>
  <c r="BH15" i="2"/>
  <c r="AV15" i="2"/>
  <c r="AJ15" i="2"/>
  <c r="X15" i="2"/>
  <c r="CE15" i="2"/>
  <c r="BS15" i="2"/>
  <c r="BG15" i="2"/>
  <c r="AU15" i="2"/>
  <c r="AI15" i="2"/>
  <c r="AG15" i="2"/>
  <c r="BP15" i="2"/>
  <c r="AR15" i="2"/>
  <c r="CA15" i="2"/>
  <c r="BC15" i="2"/>
  <c r="AE15" i="2"/>
  <c r="CL15" i="2"/>
  <c r="BY15" i="2"/>
  <c r="BM15" i="2"/>
  <c r="BA15" i="2"/>
  <c r="AO15" i="2"/>
  <c r="AC15" i="2"/>
  <c r="CD15" i="2"/>
  <c r="BR15" i="2"/>
  <c r="BF15" i="2"/>
  <c r="AT15" i="2"/>
  <c r="AH15" i="2"/>
  <c r="CC15" i="2"/>
  <c r="BQ15" i="2"/>
  <c r="BE15" i="2"/>
  <c r="AS15" i="2"/>
  <c r="CB15" i="2"/>
  <c r="BD15" i="2"/>
  <c r="AF15" i="2"/>
  <c r="BO15" i="2"/>
  <c r="AQ15" i="2"/>
  <c r="BZ15" i="2"/>
  <c r="BN15" i="2"/>
  <c r="BB15" i="2"/>
  <c r="AP15" i="2"/>
  <c r="AD15" i="2"/>
  <c r="CK15" i="2"/>
  <c r="CJ15" i="2"/>
  <c r="BX15" i="2"/>
  <c r="BL15" i="2"/>
  <c r="AZ15" i="2"/>
  <c r="AN15" i="2"/>
  <c r="AA14" i="2"/>
  <c r="Z14" i="2"/>
  <c r="Y14" i="2"/>
  <c r="X14" i="2"/>
  <c r="W14" i="2"/>
  <c r="AH14" i="2"/>
  <c r="V14" i="2"/>
  <c r="AG14" i="2"/>
  <c r="U14" i="2"/>
  <c r="AF14" i="2"/>
  <c r="T14" i="2"/>
  <c r="AE14" i="2"/>
  <c r="S14" i="2"/>
  <c r="AD14" i="2"/>
  <c r="R14" i="2"/>
  <c r="AC14" i="2"/>
  <c r="Q14" i="2"/>
  <c r="P18" i="1" a="1"/>
  <c r="T18" i="1" s="1"/>
  <c r="C110" i="1"/>
  <c r="O18" i="1"/>
  <c r="E14" i="1"/>
  <c r="O17" i="1" a="1"/>
  <c r="Q17" i="1" s="1"/>
  <c r="O16" i="1"/>
  <c r="O15" i="1" a="1"/>
  <c r="O15" i="1" s="1"/>
  <c r="E16" i="1"/>
  <c r="E17" i="1"/>
  <c r="E18" i="1"/>
  <c r="E15" i="1"/>
  <c r="C46" i="1"/>
  <c r="S18" i="1" l="1"/>
  <c r="AC18" i="1"/>
  <c r="AA18" i="1"/>
  <c r="Y18" i="1"/>
  <c r="AH18" i="1"/>
  <c r="V18" i="1"/>
  <c r="R18" i="1"/>
  <c r="AB18" i="1"/>
  <c r="U18" i="1"/>
  <c r="AE18" i="1"/>
  <c r="AD18" i="1"/>
  <c r="Q18" i="1"/>
  <c r="P18" i="1"/>
  <c r="Z18" i="1"/>
  <c r="X18" i="1"/>
  <c r="AI18" i="1"/>
  <c r="W18" i="1"/>
  <c r="AG18" i="1"/>
  <c r="AF18" i="1"/>
  <c r="P17" i="1"/>
  <c r="S17" i="1"/>
  <c r="O17" i="1"/>
  <c r="R17" i="1"/>
  <c r="W15" i="1"/>
  <c r="U15" i="1"/>
  <c r="T15" i="1"/>
  <c r="S15" i="1"/>
  <c r="R15" i="1"/>
  <c r="Q15" i="1"/>
  <c r="V15" i="1"/>
  <c r="P15" i="1"/>
  <c r="C81" i="1"/>
  <c r="S16" i="1" l="1" a="1"/>
  <c r="W16" i="1" l="1"/>
  <c r="AF16" i="1"/>
  <c r="AP16" i="1"/>
  <c r="S16" i="1"/>
  <c r="AO16" i="1"/>
  <c r="AA16" i="1"/>
  <c r="AC16" i="1"/>
  <c r="AI16" i="1"/>
  <c r="AL16" i="1"/>
  <c r="AN16" i="1"/>
  <c r="AJ16" i="1"/>
  <c r="AB16" i="1"/>
  <c r="AM16" i="1"/>
  <c r="AD16" i="1"/>
  <c r="AH16" i="1"/>
  <c r="Z16" i="1"/>
  <c r="U16" i="1"/>
  <c r="T16" i="1"/>
  <c r="V16" i="1"/>
  <c r="X16" i="1"/>
  <c r="AG16" i="1"/>
  <c r="AK16" i="1"/>
  <c r="Y16" i="1"/>
  <c r="AE16" i="1"/>
</calcChain>
</file>

<file path=xl/comments1.xml><?xml version="1.0" encoding="utf-8"?>
<comments xmlns="http://schemas.openxmlformats.org/spreadsheetml/2006/main">
  <authors>
    <author>Author</author>
  </authors>
  <commentList>
    <comment ref="D189" authorId="0" shapeId="0">
      <text>
        <r>
          <rPr>
            <b/>
            <sz val="9"/>
            <color indexed="81"/>
            <rFont val="Tahoma"/>
            <family val="2"/>
          </rPr>
          <t>Đối với mô phỏng biến động công suất do thời tiết, cần đặt hệ số quan tính này cao.
Trong trường hợp ở đây chọn H =9 ứng với công suất nhà máy là 300MW. Đối với từng dự án cụ thể cần điều chỉnh H cho phù hợp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189" authorId="0" shapeId="0">
      <text>
        <r>
          <rPr>
            <b/>
            <sz val="9"/>
            <color indexed="81"/>
            <rFont val="Tahoma"/>
            <family val="2"/>
          </rPr>
          <t>Đối với mô phỏng biến động công suất do thời tiết, cần đặt hệ số quan tính này cao.
Trong trường hợp ở đây chọn H =9 ứng với công suất nhà máy là 300MW. Đối với từng dự án cụ thể cần điều chỉnh H cho phù hợp</t>
        </r>
      </text>
    </comment>
  </commentList>
</comments>
</file>

<file path=xl/sharedStrings.xml><?xml version="1.0" encoding="utf-8"?>
<sst xmlns="http://schemas.openxmlformats.org/spreadsheetml/2006/main" count="1441" uniqueCount="571">
  <si>
    <t>PV Converter</t>
  </si>
  <si>
    <t>PVGU1</t>
  </si>
  <si>
    <t>CONs</t>
  </si>
  <si>
    <t>Value</t>
  </si>
  <si>
    <t>Description</t>
  </si>
  <si>
    <t>J</t>
  </si>
  <si>
    <t>TlqCmd, Converter time constant for IQcmd, second</t>
  </si>
  <si>
    <t>J+1</t>
  </si>
  <si>
    <t>TlpCmd, Converter time constant for IPcmd, second</t>
  </si>
  <si>
    <t>J+2</t>
  </si>
  <si>
    <t>VLVPL1, Low voltage power logic (LVPL) voltage 1, pu</t>
  </si>
  <si>
    <t>J+3</t>
  </si>
  <si>
    <t>VLVPL2, LVPL voltage 2, pu</t>
  </si>
  <si>
    <t>J+4</t>
  </si>
  <si>
    <t>GLVPL gain</t>
  </si>
  <si>
    <t>J+5</t>
  </si>
  <si>
    <t>VHVRCR, High voltage reactive current (HVRC) logic voltage, pu</t>
  </si>
  <si>
    <t>J+6</t>
  </si>
  <si>
    <t>CURHVRCR, max. reactive current at VHVRCR, pu</t>
  </si>
  <si>
    <t>J+7</t>
  </si>
  <si>
    <t>Rip_LVPL, Rate of LVACR active current change</t>
  </si>
  <si>
    <t>J+8</t>
  </si>
  <si>
    <t>T_LVPL, voltage sensor for LVACR time constants</t>
  </si>
  <si>
    <t>IBUS 'USRMDL' ID 'PVGU1' 101 10 9 3 3 CON(J) to CON(J+8) /</t>
  </si>
  <si>
    <t>STATES</t>
  </si>
  <si>
    <t>K</t>
  </si>
  <si>
    <t>Converter lag for Ipcmd</t>
  </si>
  <si>
    <t>K+1</t>
  </si>
  <si>
    <t>Converter lag for Iqcmd</t>
  </si>
  <si>
    <t>K+2</t>
  </si>
  <si>
    <t>Voltage sensor for LVACR</t>
  </si>
  <si>
    <t>VARs</t>
  </si>
  <si>
    <t>L through L+2</t>
  </si>
  <si>
    <t>For internal use</t>
  </si>
  <si>
    <t>Electrical Control Model for PV Converter</t>
  </si>
  <si>
    <t>PVEU1</t>
  </si>
  <si>
    <t>ICONS</t>
  </si>
  <si>
    <t>M</t>
  </si>
  <si>
    <t>Remote bus # for voltage control; 0 for local control</t>
  </si>
  <si>
    <t>M+1</t>
  </si>
  <si>
    <t>PFAFLG:</t>
  </si>
  <si>
    <t>M+2</t>
  </si>
  <si>
    <t>VARFLG:</t>
  </si>
  <si>
    <t>PQFLG: P/Q priority flag</t>
  </si>
  <si>
    <t>Tw, Filter time constant in voltage regulator (sec)</t>
  </si>
  <si>
    <t>Kpv, Proportional gain in voltage regulator(pu)</t>
  </si>
  <si>
    <t>Kiv, Integrator gain in voltage regulator (pu)</t>
  </si>
  <si>
    <t>Kpp, Proportional gain in torque regulator (pu)</t>
  </si>
  <si>
    <t>Kip, Integrator gain in torque regulator (pu</t>
  </si>
  <si>
    <t>Kf, rate feedback gain (pu)</t>
  </si>
  <si>
    <t>Tf, rate feedbacktime constant (sec.)</t>
  </si>
  <si>
    <t>Qmx, Max limit in voltage regulator (pu)</t>
  </si>
  <si>
    <t>Qmn, Min limit in voltage regulator (pu)</t>
  </si>
  <si>
    <t>J+9</t>
  </si>
  <si>
    <t>IPmax, Max active current limit (pu)</t>
  </si>
  <si>
    <t>J+10</t>
  </si>
  <si>
    <t>Trv, voltage sensor time constant (sec.)</t>
  </si>
  <si>
    <t>J+11</t>
  </si>
  <si>
    <t>dPMX, maximum power order rate (pu)</t>
  </si>
  <si>
    <t>J+12</t>
  </si>
  <si>
    <t>dPMN, minimum power order rate (pu)</t>
  </si>
  <si>
    <t>J+13</t>
  </si>
  <si>
    <t>Tpower, Power reference filter time constant, sec.</t>
  </si>
  <si>
    <t>J+14</t>
  </si>
  <si>
    <t>KQi, volt/Mvar gain</t>
  </si>
  <si>
    <t>J+15</t>
  </si>
  <si>
    <t>Vmincl, min. voltage limit</t>
  </si>
  <si>
    <t>J+16</t>
  </si>
  <si>
    <t>Vmaxcl, max. voltage limit</t>
  </si>
  <si>
    <t>J+17</t>
  </si>
  <si>
    <t>KVi, Int. volt/Term. voltage gain</t>
  </si>
  <si>
    <t>J+18</t>
  </si>
  <si>
    <t>Tv, Lag in WindVar controller (sec)</t>
  </si>
  <si>
    <t>J+19</t>
  </si>
  <si>
    <t>Tp, Pelec filter in fast PF controller (sec)</t>
  </si>
  <si>
    <t>J+20</t>
  </si>
  <si>
    <t>ImaxTD, Converter current limit (pu)</t>
  </si>
  <si>
    <t>J+21</t>
  </si>
  <si>
    <t>Iphl, Hard active current limit (pu)</t>
  </si>
  <si>
    <t>J+22</t>
  </si>
  <si>
    <t>Iqhl, Hard reactive current limit (pu)</t>
  </si>
  <si>
    <t>J+23</t>
  </si>
  <si>
    <t>PMX, Max power from PV plant, MW</t>
  </si>
  <si>
    <t>Filter in Voltage regulator</t>
  </si>
  <si>
    <t>Integrator in Voltage regulator</t>
  </si>
  <si>
    <t>Integrator in active power regulator</t>
  </si>
  <si>
    <t>K+3</t>
  </si>
  <si>
    <t>Active power regulator feedback</t>
  </si>
  <si>
    <t>K+4</t>
  </si>
  <si>
    <t>Voltage sensor</t>
  </si>
  <si>
    <t>K+5</t>
  </si>
  <si>
    <t>Power reference filter</t>
  </si>
  <si>
    <t>K+6</t>
  </si>
  <si>
    <t>Mvar/Vref integrator</t>
  </si>
  <si>
    <t>K+7</t>
  </si>
  <si>
    <t>Verror/lnternal machine voltage integrator</t>
  </si>
  <si>
    <t>K+8</t>
  </si>
  <si>
    <t>Lag of the WindVar controller</t>
  </si>
  <si>
    <t>K+9</t>
  </si>
  <si>
    <t>Input filter of PELEC for fast PF controller</t>
  </si>
  <si>
    <t>IBUS ' USRMDL' ID 'PVEU1' 102 0 4 24 10 4 ICON(M) to ICON(M+3) CON(J) to CON(J+23) /</t>
  </si>
  <si>
    <t>PV I-P Characteristics</t>
  </si>
  <si>
    <t>PANELU1</t>
  </si>
  <si>
    <t>PDCMAX200, maximum power of panel at an irradiance of 200 W/ m2, pu on PDCMAX1000 base</t>
  </si>
  <si>
    <t>PDCMAX400, maximum power of panel at an irradiance of 400 W/ m2, pu on PDCMAX1000 base</t>
  </si>
  <si>
    <t>PDCMAX600, maximum power of panel at an irradiance of 600 W/ m2, pu on PDCMAX1000 base</t>
  </si>
  <si>
    <t>PDCMAX800, maximum power of panel at an irradiance of 800 W/ m2, pu on PDCMAX1000 base</t>
  </si>
  <si>
    <t>PDCMAX1000, maximum power of panel at an irradiance of 1000</t>
  </si>
  <si>
    <t>L</t>
  </si>
  <si>
    <t>DC power from PV array</t>
  </si>
  <si>
    <t>IBUS 'USRMDL' ID 'PANELU1' 103 0 0 5 0 1 CON(J) to CON(J+4) /</t>
  </si>
  <si>
    <t>PV Irradiance Profile</t>
  </si>
  <si>
    <t>IRRADU1</t>
  </si>
  <si>
    <t>ICONs</t>
  </si>
  <si>
    <t>In Service Flag:</t>
  </si>
  <si>
    <t>TIME1, Time of first data point, sec</t>
  </si>
  <si>
    <t>IRRADIANCE1, Irradiance at first data point, W/m2</t>
  </si>
  <si>
    <t>TIME2, Time of second data point, sec</t>
  </si>
  <si>
    <t>IRRADIANCE2, Irradiance at second data point, W/m2</t>
  </si>
  <si>
    <t>TIME3, Time of third data point, sec</t>
  </si>
  <si>
    <t>IRRADIANCE3, Irradiance at third data point, W/m2</t>
  </si>
  <si>
    <t>TIME4, Time of fourth data point, sec</t>
  </si>
  <si>
    <t>IRRADIANCE4, Irradiance at forth data point, W/m2</t>
  </si>
  <si>
    <t>TIME5, Time of fifth data point, sec</t>
  </si>
  <si>
    <t>IRRADIANCE5, Irradiance at fifth data point, W/m2</t>
  </si>
  <si>
    <t>TIME6, Time of sixth data point, sec</t>
  </si>
  <si>
    <t>IRRADIANCE6, Irradiance at sixth data point, W/m2</t>
  </si>
  <si>
    <t>TIME7, Time of seventh data point, sec</t>
  </si>
  <si>
    <t>IRRADIANCE7, Irradiance at seventh data point, W/m2</t>
  </si>
  <si>
    <t>TIME8, Time of eighth data point, sec</t>
  </si>
  <si>
    <t>IRRADIANCE8, Irradiance at eighth at point, W/m2</t>
  </si>
  <si>
    <t>TIME9, Time of ninth data point, sec</t>
  </si>
  <si>
    <t>IRRADIANCE9, Irradiance at ninth data point, W/m2</t>
  </si>
  <si>
    <t>TIME10, Time of tenth data point, sec</t>
  </si>
  <si>
    <t>IRRADIANCE10, Irradiance at tenth data point, W/m2</t>
  </si>
  <si>
    <t>NOTE: A maximum of 10 pairs of time versus irradiance may be specified. The unused pairs should be entered as zero. TIME1 should be greater than 0 as the initial irradiance calculated from the load flow output</t>
  </si>
  <si>
    <t>IBUS 'USRMDL' ID 'IRRADU1' 104 0 1 20 0 1 ICON(M), CON(J) to CON(J+19) /</t>
  </si>
  <si>
    <t>GE Wind Turbine Generator/Converter</t>
  </si>
  <si>
    <t>GEWTGCU1</t>
  </si>
  <si>
    <t>VLVACR2, LVACR logic, voltage 2</t>
  </si>
  <si>
    <t>Rip_LVPL, rate of LVACR active current change</t>
  </si>
  <si>
    <t>LVPL 1st voltage point</t>
  </si>
  <si>
    <t>LVPL 1st power point</t>
  </si>
  <si>
    <t>LVPL 2nd voltage point</t>
  </si>
  <si>
    <t>LVPL 2nd power point</t>
  </si>
  <si>
    <t>LVPL 3rd voltage point</t>
  </si>
  <si>
    <t>LVPL 3rd power point</t>
  </si>
  <si>
    <t>Impedance for changing IQCMD to voltage signal</t>
  </si>
  <si>
    <t>Number of original WTs lumped up to the model equivalent</t>
  </si>
  <si>
    <t>Full converter flag</t>
  </si>
  <si>
    <t>STATEs</t>
  </si>
  <si>
    <t>Converter lag for Eqcmd or Iqcmd</t>
  </si>
  <si>
    <t>Voltage sensor for LVPL</t>
  </si>
  <si>
    <t>L+1</t>
  </si>
  <si>
    <t>L+2</t>
  </si>
  <si>
    <t>deltaQ, overvoltage corr. factor</t>
  </si>
  <si>
    <t>Vhvrcr2, HVRCR voltage 2</t>
  </si>
  <si>
    <t>•   0 : DFIG</t>
  </si>
  <si>
    <t>•   1 :FSC</t>
  </si>
  <si>
    <r>
      <t>V</t>
    </r>
    <r>
      <rPr>
        <vertAlign val="subscript"/>
        <sz val="11.5"/>
        <color rgb="FF000000"/>
        <rFont val="Calibri"/>
        <family val="2"/>
        <scheme val="minor"/>
      </rPr>
      <t>MACC</t>
    </r>
    <r>
      <rPr>
        <sz val="11.5"/>
        <color rgb="FF000000"/>
        <rFont val="Calibri"/>
        <family val="2"/>
        <scheme val="minor"/>
      </rPr>
      <t>,, Vterm magnitude on previous iteration</t>
    </r>
  </si>
  <si>
    <r>
      <t>V</t>
    </r>
    <r>
      <rPr>
        <vertAlign val="subscript"/>
        <sz val="11.5"/>
        <color rgb="FF000000"/>
        <rFont val="Calibri"/>
        <family val="2"/>
        <scheme val="minor"/>
      </rPr>
      <t>AACC</t>
    </r>
    <r>
      <rPr>
        <sz val="11.5"/>
        <color rgb="FF000000"/>
        <rFont val="Calibri"/>
        <family val="2"/>
        <scheme val="minor"/>
      </rPr>
      <t>, Vterm angle on previous iteration</t>
    </r>
  </si>
  <si>
    <t>IBUS 'USRMDL' ID 'GEWTGCU1' 101 1 2 18 3 3 ICON(M) to ICON(M+l) CON(J) to CON(J+l7) /</t>
  </si>
  <si>
    <t>GE Wind Turbine Electrical Control</t>
  </si>
  <si>
    <t>GEWTECU1</t>
  </si>
  <si>
    <t>J+24</t>
  </si>
  <si>
    <t>J+25</t>
  </si>
  <si>
    <t>J+26</t>
  </si>
  <si>
    <t>J+27</t>
  </si>
  <si>
    <t>J+28</t>
  </si>
  <si>
    <t>J+29</t>
  </si>
  <si>
    <t>J+30</t>
  </si>
  <si>
    <t>J+31</t>
  </si>
  <si>
    <t>J+32</t>
  </si>
  <si>
    <t>J+33</t>
  </si>
  <si>
    <t>J+34</t>
  </si>
  <si>
    <t>J+35</t>
  </si>
  <si>
    <t>J+36</t>
  </si>
  <si>
    <t>J+37</t>
  </si>
  <si>
    <t>J+38</t>
  </si>
  <si>
    <t>J+39</t>
  </si>
  <si>
    <t>J+40</t>
  </si>
  <si>
    <t>J+41</t>
  </si>
  <si>
    <t>J+42</t>
  </si>
  <si>
    <t>J+43</t>
  </si>
  <si>
    <t>J+44</t>
  </si>
  <si>
    <t>WTTHRES, high wind trip threshold</t>
  </si>
  <si>
    <t>J+45</t>
  </si>
  <si>
    <t>EBST, braking resistor energy threshold</t>
  </si>
  <si>
    <t>J+46</t>
  </si>
  <si>
    <t>KDBR, braking resistor controller gain</t>
  </si>
  <si>
    <t>J+47</t>
  </si>
  <si>
    <t>J+48</t>
  </si>
  <si>
    <t>J+49</t>
  </si>
  <si>
    <t>IPHL, hard active current limit</t>
  </si>
  <si>
    <t>J+50</t>
  </si>
  <si>
    <t>IQHL, hard reactive current limit</t>
  </si>
  <si>
    <t>J+51</t>
  </si>
  <si>
    <t>J+52</t>
  </si>
  <si>
    <t>J+53</t>
  </si>
  <si>
    <t>J+54</t>
  </si>
  <si>
    <t>J+55</t>
  </si>
  <si>
    <t>J+56</t>
  </si>
  <si>
    <t>J+57</t>
  </si>
  <si>
    <t>J+58</t>
  </si>
  <si>
    <t>J+59</t>
  </si>
  <si>
    <t>J+60</t>
  </si>
  <si>
    <t>J+61</t>
  </si>
  <si>
    <t>J+62</t>
  </si>
  <si>
    <t>J+63</t>
  </si>
  <si>
    <t>J+64</t>
  </si>
  <si>
    <t>J+65</t>
  </si>
  <si>
    <t>J+66</t>
  </si>
  <si>
    <t>Remote bus number for voltage control</t>
  </si>
  <si>
    <t>PFAflg</t>
  </si>
  <si>
    <t>• 1 - if fast PF control enabled</t>
  </si>
  <si>
    <t>• 1 - if Qord is provided by WindVar If VARFLG=PFAFLG=0 then Qordr is provided as a Qref=const</t>
  </si>
  <si>
    <t>M+3</t>
  </si>
  <si>
    <t>M+4</t>
  </si>
  <si>
    <t>M+5</t>
  </si>
  <si>
    <t>PQflg</t>
  </si>
  <si>
    <t>M+6</t>
  </si>
  <si>
    <t>M+7</t>
  </si>
  <si>
    <t>M+8</t>
  </si>
  <si>
    <t>Qdroop Branch "Id" (enter in single quotes)</t>
  </si>
  <si>
    <t>M+9</t>
  </si>
  <si>
    <t>Filter in Torque regulator</t>
  </si>
  <si>
    <t>Integrator in Torque regulator</t>
  </si>
  <si>
    <t>Mvar/Volt integrator</t>
  </si>
  <si>
    <t>Volt/Mvar integrator</t>
  </si>
  <si>
    <t>K+10</t>
  </si>
  <si>
    <t>Input filter for Pavail</t>
  </si>
  <si>
    <t>K+11</t>
  </si>
  <si>
    <t>Power response rate limit</t>
  </si>
  <si>
    <t>K+12</t>
  </si>
  <si>
    <t>LVPL limit</t>
  </si>
  <si>
    <t>K+13</t>
  </si>
  <si>
    <t>High wind speed trip integrator</t>
  </si>
  <si>
    <t>K+14</t>
  </si>
  <si>
    <t>Braking resistor integrator</t>
  </si>
  <si>
    <t>K+15</t>
  </si>
  <si>
    <t>Filter in Reactive Droop</t>
  </si>
  <si>
    <t>K+16</t>
  </si>
  <si>
    <t>Filter in WindInertia</t>
  </si>
  <si>
    <t>K+17</t>
  </si>
  <si>
    <t>Washout in WindInertia</t>
  </si>
  <si>
    <t>Remote bus reference voltage</t>
  </si>
  <si>
    <t>Q reference if PFAFLG=0 and VARFLG=0</t>
  </si>
  <si>
    <t>PF angle reference if PFAFLG = 1</t>
  </si>
  <si>
    <t>L+3</t>
  </si>
  <si>
    <t>Branch MW for Qdroop</t>
  </si>
  <si>
    <t>L+4</t>
  </si>
  <si>
    <t>Branch Mvar for Qdroop</t>
  </si>
  <si>
    <t>L+5</t>
  </si>
  <si>
    <t>Branch MVA for Qdroop</t>
  </si>
  <si>
    <t>L+6</t>
  </si>
  <si>
    <t>dpwi, WindInertia output</t>
  </si>
  <si>
    <t>L+7</t>
  </si>
  <si>
    <t>Auxiliary test signal</t>
  </si>
  <si>
    <t>L+8</t>
  </si>
  <si>
    <t>APC Freq Relay Timer</t>
  </si>
  <si>
    <t>L+9</t>
  </si>
  <si>
    <t>Available power from the wind, pu on machine base</t>
  </si>
  <si>
    <t>L+10</t>
  </si>
  <si>
    <t>Active power control output, pu on machine base</t>
  </si>
  <si>
    <t>L+11</t>
  </si>
  <si>
    <t>Rotor speed for available power</t>
  </si>
  <si>
    <t>L+12</t>
  </si>
  <si>
    <t>Braking resistor power, pu on machine base</t>
  </si>
  <si>
    <t>L+13</t>
  </si>
  <si>
    <t>Wind speed for available power</t>
  </si>
  <si>
    <t>L+14</t>
  </si>
  <si>
    <t>Real current command (WIPCMD), pu on machine base</t>
  </si>
  <si>
    <t>L+15</t>
  </si>
  <si>
    <t>Reactive current/voltage command (WIQCMD/WEQCMD), pu on machine base</t>
  </si>
  <si>
    <t>IBUS 'USRMDL' ID 'GEWTECU1' 102 0 9 67 18 16 ICON(M) to ICON(M+8) CON(J) to CON(J+66) /</t>
  </si>
  <si>
    <r>
      <t>T</t>
    </r>
    <r>
      <rPr>
        <vertAlign val="subscript"/>
        <sz val="11.5"/>
        <color rgb="FF000000"/>
        <rFont val="Calibri"/>
        <family val="2"/>
        <scheme val="minor"/>
      </rPr>
      <t>fv</t>
    </r>
    <r>
      <rPr>
        <sz val="11.5"/>
        <color rgb="FF000000"/>
        <rFont val="Calibri"/>
        <family val="2"/>
        <scheme val="minor"/>
      </rPr>
      <t>, filter time constant in voltage regulator (sec)</t>
    </r>
  </si>
  <si>
    <r>
      <t>K</t>
    </r>
    <r>
      <rPr>
        <vertAlign val="subscript"/>
        <sz val="11.5"/>
        <color rgb="FF000000"/>
        <rFont val="Calibri"/>
        <family val="2"/>
        <scheme val="minor"/>
      </rPr>
      <t>pv</t>
    </r>
    <r>
      <rPr>
        <sz val="11.5"/>
        <color rgb="FF000000"/>
        <rFont val="Calibri"/>
        <family val="2"/>
        <scheme val="minor"/>
      </rPr>
      <t>, proportional gain in Voltage regulator(pu)</t>
    </r>
  </si>
  <si>
    <r>
      <t>K</t>
    </r>
    <r>
      <rPr>
        <vertAlign val="subscript"/>
        <sz val="11.5"/>
        <color rgb="FF000000"/>
        <rFont val="Calibri"/>
        <family val="2"/>
        <scheme val="minor"/>
      </rPr>
      <t>iv</t>
    </r>
    <r>
      <rPr>
        <sz val="11.5"/>
        <color rgb="FF000000"/>
        <rFont val="Calibri"/>
        <family val="2"/>
        <scheme val="minor"/>
      </rPr>
      <t>, integrator gain in Voltage regulator (pu)</t>
    </r>
  </si>
  <si>
    <r>
      <t>R</t>
    </r>
    <r>
      <rPr>
        <vertAlign val="subscript"/>
        <sz val="11.5"/>
        <color rgb="FF000000"/>
        <rFont val="Calibri"/>
        <family val="2"/>
        <scheme val="minor"/>
      </rPr>
      <t>c</t>
    </r>
    <r>
      <rPr>
        <sz val="11.5"/>
        <color rgb="FF000000"/>
        <rFont val="Calibri"/>
        <family val="2"/>
        <scheme val="minor"/>
      </rPr>
      <t>, line drop compensation resistance (pu)</t>
    </r>
  </si>
  <si>
    <r>
      <t>X</t>
    </r>
    <r>
      <rPr>
        <vertAlign val="subscript"/>
        <sz val="11.5"/>
        <color rgb="FF000000"/>
        <rFont val="Calibri"/>
        <family val="2"/>
        <scheme val="minor"/>
      </rPr>
      <t>c</t>
    </r>
    <r>
      <rPr>
        <sz val="11.5"/>
        <color rgb="FF000000"/>
        <rFont val="Calibri"/>
        <family val="2"/>
        <scheme val="minor"/>
      </rPr>
      <t>, line drop compensation reactance (pu)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</si>
  <si>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fp</t>
    </r>
    <r>
      <rPr>
        <sz val="11.5"/>
        <color rgb="FF000000"/>
        <rFont val="Calibri"/>
        <family val="2"/>
        <scheme val="minor"/>
      </rPr>
      <t>, filter time constant in Torque regulator (sec)</t>
    </r>
  </si>
  <si>
    <r>
      <t>K</t>
    </r>
    <r>
      <rPr>
        <vertAlign val="subscript"/>
        <sz val="11.5"/>
        <color rgb="FF000000"/>
        <rFont val="Calibri"/>
        <family val="2"/>
        <scheme val="minor"/>
      </rPr>
      <t>pp</t>
    </r>
    <r>
      <rPr>
        <sz val="11.5"/>
        <color rgb="FF000000"/>
        <rFont val="Calibri"/>
        <family val="2"/>
        <scheme val="minor"/>
      </rPr>
      <t>, proportional gain in Torque regulator(pu)</t>
    </r>
  </si>
  <si>
    <r>
      <t>K</t>
    </r>
    <r>
      <rPr>
        <vertAlign val="subscript"/>
        <sz val="11.5"/>
        <color rgb="FF000000"/>
        <rFont val="Calibri"/>
        <family val="2"/>
        <scheme val="minor"/>
      </rPr>
      <t>ip</t>
    </r>
    <r>
      <rPr>
        <sz val="11.5"/>
        <color rgb="FF000000"/>
        <rFont val="Calibri"/>
        <family val="2"/>
        <scheme val="minor"/>
      </rPr>
      <t>, integrator gain in Torque regulator (pu)</t>
    </r>
  </si>
  <si>
    <r>
      <t>P</t>
    </r>
    <r>
      <rPr>
        <vertAlign val="subscript"/>
        <sz val="11.5"/>
        <color rgb="FF000000"/>
        <rFont val="Calibri"/>
        <family val="2"/>
        <scheme val="minor"/>
      </rPr>
      <t>max</t>
    </r>
    <r>
      <rPr>
        <sz val="11.5"/>
        <color rgb="FF000000"/>
        <rFont val="Calibri"/>
        <family val="2"/>
        <scheme val="minor"/>
      </rPr>
      <t>, maximum limit in Torque regulator (pu)</t>
    </r>
  </si>
  <si>
    <r>
      <t>P</t>
    </r>
    <r>
      <rPr>
        <vertAlign val="subscript"/>
        <sz val="11.5"/>
        <color rgb="FF000000"/>
        <rFont val="Calibri"/>
        <family val="2"/>
        <scheme val="minor"/>
      </rPr>
      <t>min</t>
    </r>
    <r>
      <rPr>
        <sz val="11.5"/>
        <color rgb="FF000000"/>
        <rFont val="Calibri"/>
        <family val="2"/>
        <scheme val="minor"/>
      </rPr>
      <t>, minimum limit in Torque regulator (pu)</t>
    </r>
  </si>
  <si>
    <r>
      <t>Q</t>
    </r>
    <r>
      <rPr>
        <vertAlign val="subscript"/>
        <sz val="11.5"/>
        <color rgb="FF000000"/>
        <rFont val="Calibri"/>
        <family val="2"/>
        <scheme val="minor"/>
      </rPr>
      <t>max</t>
    </r>
    <r>
      <rPr>
        <sz val="11.5"/>
        <color rgb="FF000000"/>
        <rFont val="Calibri"/>
        <family val="2"/>
        <scheme val="minor"/>
      </rPr>
      <t>, maximum limit in Voltage regulator (pu)</t>
    </r>
  </si>
  <si>
    <r>
      <t>Q</t>
    </r>
    <r>
      <rPr>
        <vertAlign val="subscript"/>
        <sz val="11.5"/>
        <color rgb="FF000000"/>
        <rFont val="Calibri"/>
        <family val="2"/>
        <scheme val="minor"/>
      </rPr>
      <t>min</t>
    </r>
    <r>
      <rPr>
        <sz val="11.5"/>
        <color rgb="FF000000"/>
        <rFont val="Calibri"/>
        <family val="2"/>
        <scheme val="minor"/>
      </rPr>
      <t>, minimum limit in Voltage regulator (pu)</t>
    </r>
  </si>
  <si>
    <r>
      <t>IP</t>
    </r>
    <r>
      <rPr>
        <vertAlign val="subscript"/>
        <sz val="11.5"/>
        <color rgb="FF000000"/>
        <rFont val="Calibri"/>
        <family val="2"/>
        <scheme val="minor"/>
      </rPr>
      <t>max</t>
    </r>
    <r>
      <rPr>
        <sz val="11.5"/>
        <color rgb="FF000000"/>
        <rFont val="Calibri"/>
        <family val="2"/>
        <scheme val="minor"/>
      </rPr>
      <t>, maximum active current limit (pu)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</si>
  <si>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rv</t>
    </r>
    <r>
      <rPr>
        <sz val="11.5"/>
        <color rgb="FF000000"/>
        <rFont val="Calibri"/>
        <family val="2"/>
        <scheme val="minor"/>
      </rPr>
      <t>, voltage sensor time constant (sec)</t>
    </r>
  </si>
  <si>
    <r>
      <t>RP</t>
    </r>
    <r>
      <rPr>
        <vertAlign val="subscript"/>
        <sz val="11.5"/>
        <color rgb="FF000000"/>
        <rFont val="Calibri"/>
        <family val="2"/>
        <scheme val="minor"/>
      </rPr>
      <t>max</t>
    </r>
    <r>
      <rPr>
        <sz val="11.5"/>
        <color rgb="FF000000"/>
        <rFont val="Calibri"/>
        <family val="2"/>
        <scheme val="minor"/>
      </rPr>
      <t>, maximum power order derivative (pu)</t>
    </r>
  </si>
  <si>
    <r>
      <t>RP</t>
    </r>
    <r>
      <rPr>
        <vertAlign val="subscript"/>
        <sz val="11.5"/>
        <color rgb="FF000000"/>
        <rFont val="Calibri"/>
        <family val="2"/>
        <scheme val="minor"/>
      </rPr>
      <t>mIn</t>
    </r>
    <r>
      <rPr>
        <sz val="11.5"/>
        <color rgb="FF000000"/>
        <rFont val="Calibri"/>
        <family val="2"/>
        <scheme val="minor"/>
      </rPr>
      <t>, minimum power order derivative (pu)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</si>
  <si>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PoweR</t>
    </r>
    <r>
      <rPr>
        <sz val="11.5"/>
        <color rgb="FF000000"/>
        <rFont val="Calibri"/>
        <family val="2"/>
        <scheme val="minor"/>
      </rPr>
      <t>, power reference filter time constant (sec)</t>
    </r>
  </si>
  <si>
    <r>
      <t>KQ</t>
    </r>
    <r>
      <rPr>
        <vertAlign val="subscript"/>
        <sz val="11.5"/>
        <color rgb="FF000000"/>
        <rFont val="Calibri"/>
        <family val="2"/>
        <scheme val="minor"/>
      </rPr>
      <t>U</t>
    </r>
    <r>
      <rPr>
        <sz val="11.5"/>
        <color rgb="FF000000"/>
        <rFont val="Calibri"/>
        <family val="2"/>
        <scheme val="minor"/>
      </rPr>
      <t xml:space="preserve"> Volt/MVAR gain</t>
    </r>
  </si>
  <si>
    <r>
      <t>V</t>
    </r>
    <r>
      <rPr>
        <vertAlign val="subscript"/>
        <sz val="11.5"/>
        <color rgb="FF000000"/>
        <rFont val="Calibri"/>
        <family val="2"/>
        <scheme val="minor"/>
      </rPr>
      <t>mIncl</t>
    </r>
    <r>
      <rPr>
        <sz val="11.5"/>
        <color rgb="FF000000"/>
        <rFont val="Calibri"/>
        <family val="2"/>
        <scheme val="minor"/>
      </rPr>
      <t>, minimum voltage limit</t>
    </r>
  </si>
  <si>
    <r>
      <t>V</t>
    </r>
    <r>
      <rPr>
        <vertAlign val="subscript"/>
        <sz val="11.5"/>
        <color rgb="FF000000"/>
        <rFont val="Calibri"/>
        <family val="2"/>
        <scheme val="minor"/>
      </rPr>
      <t>maxcl</t>
    </r>
    <r>
      <rPr>
        <sz val="11.5"/>
        <color rgb="FF000000"/>
        <rFont val="Calibri"/>
        <family val="2"/>
        <scheme val="minor"/>
      </rPr>
      <t>, maximum voltage limit</t>
    </r>
  </si>
  <si>
    <r>
      <t>KV</t>
    </r>
    <r>
      <rPr>
        <vertAlign val="subscript"/>
        <sz val="11.5"/>
        <color rgb="FF000000"/>
        <rFont val="Calibri"/>
        <family val="2"/>
        <scheme val="minor"/>
      </rPr>
      <t>|f</t>
    </r>
    <r>
      <rPr>
        <sz val="11.5"/>
        <color rgb="FF000000"/>
        <rFont val="Calibri"/>
        <family val="2"/>
        <scheme val="minor"/>
      </rPr>
      <t xml:space="preserve"> int. voltage/terminal voltage gain</t>
    </r>
  </si>
  <si>
    <r>
      <t>XI</t>
    </r>
    <r>
      <rPr>
        <vertAlign val="subscript"/>
        <sz val="11.5"/>
        <color rgb="FF000000"/>
        <rFont val="Calibri"/>
        <family val="2"/>
        <scheme val="minor"/>
      </rPr>
      <t>mIn</t>
    </r>
    <r>
      <rPr>
        <sz val="11.5"/>
        <color rgb="FF000000"/>
        <rFont val="Calibri"/>
        <family val="2"/>
        <scheme val="minor"/>
      </rPr>
      <t>, minimum limit</t>
    </r>
  </si>
  <si>
    <r>
      <t>XI</t>
    </r>
    <r>
      <rPr>
        <vertAlign val="subscript"/>
        <sz val="11.5"/>
        <color rgb="FF000000"/>
        <rFont val="Calibri"/>
        <family val="2"/>
        <scheme val="minor"/>
      </rPr>
      <t>max</t>
    </r>
    <r>
      <rPr>
        <sz val="11.5"/>
        <color rgb="FF000000"/>
        <rFont val="Calibri"/>
        <family val="2"/>
        <scheme val="minor"/>
      </rPr>
      <t>, maximum limit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</si>
  <si>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v</t>
    </r>
    <r>
      <rPr>
        <sz val="11.5"/>
        <color rgb="FF000000"/>
        <rFont val="Calibri"/>
        <family val="2"/>
        <scheme val="minor"/>
      </rPr>
      <t>, lag in WindVar controller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</si>
  <si>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P</t>
    </r>
    <r>
      <rPr>
        <sz val="11.5"/>
        <color rgb="FF000000"/>
        <rFont val="Calibri"/>
        <family val="2"/>
        <scheme val="minor"/>
      </rPr>
      <t>, Pelec filter in fast PF controller</t>
    </r>
  </si>
  <si>
    <r>
      <t>F</t>
    </r>
    <r>
      <rPr>
        <vertAlign val="subscript"/>
        <sz val="11.5"/>
        <color rgb="FF000000"/>
        <rFont val="Calibri"/>
        <family val="2"/>
        <scheme val="minor"/>
      </rPr>
      <t>n</t>
    </r>
    <r>
      <rPr>
        <sz val="11.5"/>
        <color rgb="FF000000"/>
        <rFont val="Calibri"/>
        <family val="2"/>
        <scheme val="minor"/>
      </rPr>
      <t>, a portion of on-line wind turbines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</si>
  <si>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Pav</t>
    </r>
    <r>
      <rPr>
        <sz val="11.5"/>
        <color rgb="FF000000"/>
        <rFont val="Calibri"/>
        <family val="2"/>
        <scheme val="minor"/>
      </rPr>
      <t>, Pavail filter time constant (sec)</t>
    </r>
  </si>
  <si>
    <r>
      <t>FR</t>
    </r>
    <r>
      <rPr>
        <vertAlign val="subscript"/>
        <sz val="11.5"/>
        <color rgb="FF000000"/>
        <rFont val="Calibri"/>
        <family val="2"/>
        <scheme val="minor"/>
      </rPr>
      <t>a</t>
    </r>
    <r>
      <rPr>
        <sz val="11.5"/>
        <color rgb="FF000000"/>
        <rFont val="Calibri"/>
        <family val="2"/>
        <scheme val="minor"/>
      </rPr>
      <t>, frequency response curve</t>
    </r>
  </si>
  <si>
    <r>
      <t>FR</t>
    </r>
    <r>
      <rPr>
        <vertAlign val="subscript"/>
        <sz val="11.5"/>
        <color rgb="FF000000"/>
        <rFont val="Calibri"/>
        <family val="2"/>
        <scheme val="minor"/>
      </rPr>
      <t>b</t>
    </r>
    <r>
      <rPr>
        <sz val="11.5"/>
        <color rgb="FF000000"/>
        <rFont val="Calibri"/>
        <family val="2"/>
        <scheme val="minor"/>
      </rPr>
      <t>, frequency response curve</t>
    </r>
  </si>
  <si>
    <r>
      <t>FR</t>
    </r>
    <r>
      <rPr>
        <vertAlign val="subscript"/>
        <sz val="11.5"/>
        <color rgb="FF000000"/>
        <rFont val="Calibri"/>
        <family val="2"/>
        <scheme val="minor"/>
      </rPr>
      <t>c</t>
    </r>
    <r>
      <rPr>
        <sz val="11.5"/>
        <color rgb="FF000000"/>
        <rFont val="Calibri"/>
        <family val="2"/>
        <scheme val="minor"/>
      </rPr>
      <t>, frequency response curve</t>
    </r>
  </si>
  <si>
    <r>
      <t>FR</t>
    </r>
    <r>
      <rPr>
        <vertAlign val="subscript"/>
        <sz val="11.5"/>
        <color rgb="FF000000"/>
        <rFont val="Calibri"/>
        <family val="2"/>
        <scheme val="minor"/>
      </rPr>
      <t>d</t>
    </r>
    <r>
      <rPr>
        <sz val="11.5"/>
        <color rgb="FF000000"/>
        <rFont val="Calibri"/>
        <family val="2"/>
        <scheme val="minor"/>
      </rPr>
      <t>, frequency response curve</t>
    </r>
  </si>
  <si>
    <r>
      <t>PFR</t>
    </r>
    <r>
      <rPr>
        <vertAlign val="subscript"/>
        <sz val="11.5"/>
        <color rgb="FF000000"/>
        <rFont val="Calibri"/>
        <family val="2"/>
        <scheme val="minor"/>
      </rPr>
      <t>a</t>
    </r>
    <r>
      <rPr>
        <sz val="11.5"/>
        <color rgb="FF000000"/>
        <rFont val="Calibri"/>
        <family val="2"/>
        <scheme val="minor"/>
      </rPr>
      <t>, frequency response curve</t>
    </r>
  </si>
  <si>
    <r>
      <t>PFR</t>
    </r>
    <r>
      <rPr>
        <vertAlign val="subscript"/>
        <sz val="11.5"/>
        <color rgb="FF000000"/>
        <rFont val="Calibri"/>
        <family val="2"/>
        <scheme val="minor"/>
      </rPr>
      <t>b</t>
    </r>
    <r>
      <rPr>
        <sz val="11.5"/>
        <color rgb="FF000000"/>
        <rFont val="Calibri"/>
        <family val="2"/>
        <scheme val="minor"/>
      </rPr>
      <t>, frequency response curve</t>
    </r>
  </si>
  <si>
    <r>
      <t>PFR</t>
    </r>
    <r>
      <rPr>
        <vertAlign val="subscript"/>
        <sz val="11.5"/>
        <color rgb="FF000000"/>
        <rFont val="Calibri"/>
        <family val="2"/>
        <scheme val="minor"/>
      </rPr>
      <t>c</t>
    </r>
    <r>
      <rPr>
        <sz val="11.5"/>
        <color rgb="FF000000"/>
        <rFont val="Calibri"/>
        <family val="2"/>
        <scheme val="minor"/>
      </rPr>
      <t>, frequency response curve</t>
    </r>
  </si>
  <si>
    <r>
      <t>PFR</t>
    </r>
    <r>
      <rPr>
        <vertAlign val="subscript"/>
        <sz val="11.5"/>
        <color rgb="FF000000"/>
        <rFont val="Calibri"/>
        <family val="2"/>
        <scheme val="minor"/>
      </rPr>
      <t>d</t>
    </r>
    <r>
      <rPr>
        <sz val="11.5"/>
        <color rgb="FF000000"/>
        <rFont val="Calibri"/>
        <family val="2"/>
        <scheme val="minor"/>
      </rPr>
      <t>, frequency response curve</t>
    </r>
  </si>
  <si>
    <r>
      <t>PFR</t>
    </r>
    <r>
      <rPr>
        <vertAlign val="subscript"/>
        <sz val="11.5"/>
        <color rgb="FF000000"/>
        <rFont val="Calibri"/>
        <family val="2"/>
        <scheme val="minor"/>
      </rPr>
      <t>max</t>
    </r>
    <r>
      <rPr>
        <sz val="11.5"/>
        <color rgb="FF000000"/>
        <rFont val="Calibri"/>
        <family val="2"/>
        <scheme val="minor"/>
      </rPr>
      <t>, maximum Pavail</t>
    </r>
  </si>
  <si>
    <r>
      <t>PFR</t>
    </r>
    <r>
      <rPr>
        <vertAlign val="subscript"/>
        <sz val="11.5"/>
        <color rgb="FF000000"/>
        <rFont val="Calibri"/>
        <family val="2"/>
        <scheme val="minor"/>
      </rPr>
      <t>mIn</t>
    </r>
    <r>
      <rPr>
        <sz val="11.5"/>
        <color rgb="FF000000"/>
        <rFont val="Calibri"/>
        <family val="2"/>
        <scheme val="minor"/>
      </rPr>
      <t>, minimum Pavail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</si>
  <si>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W</t>
    </r>
    <r>
      <rPr>
        <sz val="11.5"/>
        <color rgb="FF000000"/>
        <rFont val="Calibri"/>
        <family val="2"/>
        <scheme val="minor"/>
      </rPr>
      <t>, power command rate limit time constant (sec)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</si>
  <si>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lvpl</t>
    </r>
    <r>
      <rPr>
        <sz val="11.5"/>
        <color rgb="FF000000"/>
        <rFont val="Calibri"/>
        <family val="2"/>
        <scheme val="minor"/>
      </rPr>
      <t>, LVPL sensor (sec)</t>
    </r>
  </si>
  <si>
    <r>
      <t>V</t>
    </r>
    <r>
      <rPr>
        <vertAlign val="subscript"/>
        <sz val="11.5"/>
        <color rgb="FF000000"/>
        <rFont val="Calibri"/>
        <family val="2"/>
        <scheme val="minor"/>
      </rPr>
      <t>LVPL</t>
    </r>
    <r>
      <rPr>
        <sz val="11.5"/>
        <color rgb="FF000000"/>
        <rFont val="Calibri"/>
        <family val="2"/>
        <scheme val="minor"/>
      </rPr>
      <t>, LVPL breakpoint</t>
    </r>
  </si>
  <si>
    <r>
      <t>SPD</t>
    </r>
    <r>
      <rPr>
        <vertAlign val="subscript"/>
        <sz val="11.5"/>
        <color rgb="FF000000"/>
        <rFont val="Calibri"/>
        <family val="2"/>
        <scheme val="minor"/>
      </rPr>
      <t>LOW</t>
    </r>
    <r>
      <rPr>
        <sz val="11.5"/>
        <color rgb="FF000000"/>
        <rFont val="Calibri"/>
        <family val="2"/>
        <scheme val="minor"/>
      </rPr>
      <t>, low rotor speed to trip WTG</t>
    </r>
  </si>
  <si>
    <r>
      <t>PDBR</t>
    </r>
    <r>
      <rPr>
        <vertAlign val="subscript"/>
        <sz val="11.5"/>
        <color rgb="FF000000"/>
        <rFont val="Calibri"/>
        <family val="2"/>
        <scheme val="minor"/>
      </rPr>
      <t>MAX</t>
    </r>
    <r>
      <rPr>
        <sz val="11.5"/>
        <color rgb="FF000000"/>
        <rFont val="Calibri"/>
        <family val="2"/>
        <scheme val="minor"/>
      </rPr>
      <t>, breaking resistor power error maximum limit</t>
    </r>
  </si>
  <si>
    <r>
      <t>IMAX</t>
    </r>
    <r>
      <rPr>
        <vertAlign val="subscript"/>
        <sz val="11.5"/>
        <color rgb="FF000000"/>
        <rFont val="Calibri"/>
        <family val="2"/>
        <scheme val="minor"/>
      </rPr>
      <t>TD</t>
    </r>
    <r>
      <rPr>
        <sz val="11.5"/>
        <color rgb="FF000000"/>
        <rFont val="Calibri"/>
        <family val="2"/>
        <scheme val="minor"/>
      </rPr>
      <t>, converter current limit</t>
    </r>
  </si>
  <si>
    <r>
      <t>T</t>
    </r>
    <r>
      <rPr>
        <vertAlign val="subscript"/>
        <sz val="11.5"/>
        <color rgb="FF000000"/>
        <rFont val="Calibri"/>
        <family val="2"/>
        <scheme val="minor"/>
      </rPr>
      <t>LP</t>
    </r>
    <r>
      <rPr>
        <sz val="11.5"/>
        <color rgb="FF000000"/>
        <rFont val="Calibri"/>
        <family val="2"/>
        <scheme val="minor"/>
      </rPr>
      <t>q</t>
    </r>
    <r>
      <rPr>
        <vertAlign val="subscript"/>
        <sz val="11.5"/>
        <color rgb="FF000000"/>
        <rFont val="Calibri"/>
        <family val="2"/>
        <scheme val="minor"/>
      </rPr>
      <t>D</t>
    </r>
    <r>
      <rPr>
        <sz val="11.5"/>
        <color rgb="FF000000"/>
        <rFont val="Calibri"/>
        <family val="2"/>
        <scheme val="minor"/>
      </rPr>
      <t>, reactive droop time constant</t>
    </r>
  </si>
  <si>
    <r>
      <t>Kq</t>
    </r>
    <r>
      <rPr>
        <vertAlign val="subscript"/>
        <sz val="11.5"/>
        <color rgb="FF000000"/>
        <rFont val="Calibri"/>
        <family val="2"/>
        <scheme val="minor"/>
      </rPr>
      <t>D</t>
    </r>
    <r>
      <rPr>
        <sz val="11.5"/>
        <color rgb="FF000000"/>
        <rFont val="Calibri"/>
        <family val="2"/>
        <scheme val="minor"/>
      </rPr>
      <t>, reactive droop gain</t>
    </r>
  </si>
  <si>
    <r>
      <t>Xq</t>
    </r>
    <r>
      <rPr>
        <vertAlign val="subscript"/>
        <sz val="11.5"/>
        <color rgb="FF000000"/>
        <rFont val="Calibri"/>
        <family val="2"/>
        <scheme val="minor"/>
      </rPr>
      <t>D</t>
    </r>
    <r>
      <rPr>
        <sz val="11.5"/>
        <color rgb="FF000000"/>
        <rFont val="Calibri"/>
        <family val="2"/>
        <scheme val="minor"/>
      </rPr>
      <t>, reactive droop synthesizing impedance</t>
    </r>
  </si>
  <si>
    <r>
      <t>K</t>
    </r>
    <r>
      <rPr>
        <vertAlign val="subscript"/>
        <sz val="11.5"/>
        <color rgb="FF000000"/>
        <rFont val="Calibri"/>
        <family val="2"/>
        <scheme val="minor"/>
      </rPr>
      <t>WI</t>
    </r>
    <r>
      <rPr>
        <sz val="11.5"/>
        <color rgb="FF000000"/>
        <rFont val="Calibri"/>
        <family val="2"/>
        <scheme val="minor"/>
      </rPr>
      <t>, wind inertia gain</t>
    </r>
  </si>
  <si>
    <r>
      <t>DB</t>
    </r>
    <r>
      <rPr>
        <vertAlign val="subscript"/>
        <sz val="11.5"/>
        <color rgb="FF000000"/>
        <rFont val="Calibri"/>
        <family val="2"/>
        <scheme val="minor"/>
      </rPr>
      <t>WI</t>
    </r>
    <r>
      <rPr>
        <sz val="11.5"/>
        <color rgb="FF000000"/>
        <rFont val="Calibri"/>
        <family val="2"/>
        <scheme val="minor"/>
      </rPr>
      <t>, wind inertia deadband</t>
    </r>
  </si>
  <si>
    <r>
      <t>TLP</t>
    </r>
    <r>
      <rPr>
        <vertAlign val="subscript"/>
        <sz val="11.5"/>
        <color rgb="FF000000"/>
        <rFont val="Calibri"/>
        <family val="2"/>
        <scheme val="minor"/>
      </rPr>
      <t>WI</t>
    </r>
    <r>
      <rPr>
        <sz val="11.5"/>
        <color rgb="FF000000"/>
        <rFont val="Calibri"/>
        <family val="2"/>
        <scheme val="minor"/>
      </rPr>
      <t>, wind inertia filter time constant</t>
    </r>
  </si>
  <si>
    <r>
      <t>TWO</t>
    </r>
    <r>
      <rPr>
        <vertAlign val="subscript"/>
        <sz val="11.5"/>
        <color rgb="FF000000"/>
        <rFont val="Calibri"/>
        <family val="2"/>
        <scheme val="minor"/>
      </rPr>
      <t>WI</t>
    </r>
    <r>
      <rPr>
        <sz val="11.5"/>
        <color rgb="FF000000"/>
        <rFont val="Calibri"/>
        <family val="2"/>
        <scheme val="minor"/>
      </rPr>
      <t>, wind inertia washout time constant</t>
    </r>
  </si>
  <si>
    <r>
      <t>URL</t>
    </r>
    <r>
      <rPr>
        <vertAlign val="subscript"/>
        <sz val="11.5"/>
        <color rgb="FF000000"/>
        <rFont val="Calibri"/>
        <family val="2"/>
        <scheme val="minor"/>
      </rPr>
      <t>WI</t>
    </r>
    <r>
      <rPr>
        <sz val="11.5"/>
        <color rgb="FF000000"/>
        <rFont val="Calibri"/>
        <family val="2"/>
        <scheme val="minor"/>
      </rPr>
      <t>, wind inertia up rate ramp limit</t>
    </r>
  </si>
  <si>
    <r>
      <t>DRL</t>
    </r>
    <r>
      <rPr>
        <vertAlign val="subscript"/>
        <sz val="11.5"/>
        <color rgb="FF000000"/>
        <rFont val="Calibri"/>
        <family val="2"/>
        <scheme val="minor"/>
      </rPr>
      <t>WI</t>
    </r>
    <r>
      <rPr>
        <sz val="11.5"/>
        <color rgb="FF000000"/>
        <rFont val="Calibri"/>
        <family val="2"/>
        <scheme val="minor"/>
      </rPr>
      <t>, wind inertia down rate ramp limit</t>
    </r>
  </si>
  <si>
    <r>
      <t>PMX</t>
    </r>
    <r>
      <rPr>
        <vertAlign val="subscript"/>
        <sz val="11.5"/>
        <color rgb="FF000000"/>
        <rFont val="Calibri"/>
        <family val="2"/>
        <scheme val="minor"/>
      </rPr>
      <t>WI</t>
    </r>
    <r>
      <rPr>
        <sz val="11.5"/>
        <color rgb="FF000000"/>
        <rFont val="Calibri"/>
        <family val="2"/>
        <scheme val="minor"/>
      </rPr>
      <t>, wind inertia maximum additional power</t>
    </r>
  </si>
  <si>
    <r>
      <t>PMN</t>
    </r>
    <r>
      <rPr>
        <vertAlign val="subscript"/>
        <sz val="11.5"/>
        <color rgb="FF000000"/>
        <rFont val="Calibri"/>
        <family val="2"/>
        <scheme val="minor"/>
      </rPr>
      <t>WI</t>
    </r>
    <r>
      <rPr>
        <sz val="11.5"/>
        <color rgb="FF000000"/>
        <rFont val="Calibri"/>
        <family val="2"/>
        <scheme val="minor"/>
      </rPr>
      <t>, wind inertia minimum additional power</t>
    </r>
  </si>
  <si>
    <r>
      <t>VER</t>
    </r>
    <r>
      <rPr>
        <vertAlign val="subscript"/>
        <sz val="11.5"/>
        <color rgb="FF000000"/>
        <rFont val="Calibri"/>
        <family val="2"/>
        <scheme val="minor"/>
      </rPr>
      <t>mx</t>
    </r>
    <r>
      <rPr>
        <sz val="11.5"/>
        <color rgb="FF000000"/>
        <rFont val="Calibri"/>
        <family val="2"/>
        <scheme val="minor"/>
      </rPr>
      <t>, reactive power control maximum error signal</t>
    </r>
  </si>
  <si>
    <r>
      <t>VER</t>
    </r>
    <r>
      <rPr>
        <vertAlign val="subscript"/>
        <sz val="11.5"/>
        <color rgb="FF000000"/>
        <rFont val="Calibri"/>
        <family val="2"/>
        <scheme val="minor"/>
      </rPr>
      <t>mn</t>
    </r>
    <r>
      <rPr>
        <sz val="11.5"/>
        <color rgb="FF000000"/>
        <rFont val="Calibri"/>
        <family val="2"/>
        <scheme val="minor"/>
      </rPr>
      <t>, reactive power control minimum error signal</t>
    </r>
  </si>
  <si>
    <r>
      <t>V</t>
    </r>
    <r>
      <rPr>
        <vertAlign val="subscript"/>
        <sz val="11.5"/>
        <color rgb="FF000000"/>
        <rFont val="Calibri"/>
        <family val="2"/>
        <scheme val="minor"/>
      </rPr>
      <t>FRZ</t>
    </r>
    <r>
      <rPr>
        <sz val="11.5"/>
        <color rgb="FF000000"/>
        <rFont val="Calibri"/>
        <family val="2"/>
        <scheme val="minor"/>
      </rPr>
      <t>, reactive power control freeze voltage</t>
    </r>
  </si>
  <si>
    <r>
      <t>QZP</t>
    </r>
    <r>
      <rPr>
        <vertAlign val="subscript"/>
        <sz val="11.5"/>
        <color rgb="FF000000"/>
        <rFont val="Calibri"/>
        <family val="2"/>
        <scheme val="minor"/>
      </rPr>
      <t>MX</t>
    </r>
    <r>
      <rPr>
        <sz val="11.5"/>
        <color rgb="FF000000"/>
        <rFont val="Calibri"/>
        <family val="2"/>
        <scheme val="minor"/>
      </rPr>
      <t>, Qmax limit in zero power mode</t>
    </r>
  </si>
  <si>
    <r>
      <t>QZP</t>
    </r>
    <r>
      <rPr>
        <vertAlign val="subscript"/>
        <sz val="11.5"/>
        <color rgb="FF000000"/>
        <rFont val="Calibri"/>
        <family val="2"/>
        <scheme val="minor"/>
      </rPr>
      <t>MN</t>
    </r>
    <r>
      <rPr>
        <sz val="11.5"/>
        <color rgb="FF000000"/>
        <rFont val="Calibri"/>
        <family val="2"/>
        <scheme val="minor"/>
      </rPr>
      <t>, Qmin limit in zero power mode</t>
    </r>
  </si>
  <si>
    <t>•   0 - Q priority</t>
  </si>
  <si>
    <t>•   1 - P priority</t>
  </si>
  <si>
    <t>GE Wind Turbine Pitch Control</t>
  </si>
  <si>
    <t>GEWTPTU1</t>
  </si>
  <si>
    <t>For internal use (user to input 0)</t>
  </si>
  <si>
    <t>Output Lag</t>
  </si>
  <si>
    <t>Pitch Control</t>
  </si>
  <si>
    <t>Pitch compensator</t>
  </si>
  <si>
    <t>Initial machine rotor speed (pu)</t>
  </si>
  <si>
    <t>Initial pitch angle (degrees)</t>
  </si>
  <si>
    <t>Power reference</t>
  </si>
  <si>
    <t>IBUS 'USRMDL' ID 'GEWTPTU1' 104 0 2 10 3 3 0 0 CON(J) to CON(J+9) /</t>
  </si>
  <si>
    <t>GE Wind Turbine Aerodynamics</t>
  </si>
  <si>
    <t>GEWTARU1</t>
  </si>
  <si>
    <t>J+S</t>
  </si>
  <si>
    <t>P, air density (kg/m3)</t>
  </si>
  <si>
    <t>RADIUS, blade radius (meters)</t>
  </si>
  <si>
    <t>SYNCHR, synchronous rpm</t>
  </si>
  <si>
    <t>Conversion smoothing lag</t>
  </si>
  <si>
    <t>K_ADJ from initialization</t>
  </si>
  <si>
    <t>PITCH_INIT, Initial pitch angle</t>
  </si>
  <si>
    <t>Lambda, current lambda</t>
  </si>
  <si>
    <t>Cp, Current Cp</t>
  </si>
  <si>
    <t>GE Wind Turbine Two Mass Shaft</t>
  </si>
  <si>
    <t>GEWT2MU1</t>
  </si>
  <si>
    <t>H, total inertia of the drive train (MW*sec/MVA)</t>
  </si>
  <si>
    <t>DAMP, machine damping factor pu P/pu Speed</t>
  </si>
  <si>
    <t>FREQ-|, first shaft torsional resonant frequency (Hz)</t>
  </si>
  <si>
    <t>DSHAFT, shaft damping factor</t>
  </si>
  <si>
    <t>Shaft twist angle (radians)</t>
  </si>
  <si>
    <t>Turbine rotor speed deviation (pu)</t>
  </si>
  <si>
    <t>Generator speed deviation (pu)</t>
  </si>
  <si>
    <t>Generator angle deviation (degrees)</t>
  </si>
  <si>
    <t>Paero on the rotor blade side (pu)</t>
  </si>
  <si>
    <t>Initial rotor slip (pu)</t>
  </si>
  <si>
    <t>Initial internal angle (degrees)</t>
  </si>
  <si>
    <t>IBUS 'USRMDL' ID 'GEWT2MU1' 103 0 1 5 4 3 0 CON(J) to CON(J+4) /</t>
  </si>
  <si>
    <t>GE Wind Turbine Wind Gust and Ramp</t>
  </si>
  <si>
    <t>GEWTGDU1</t>
  </si>
  <si>
    <t>VW, Effective wind speed</t>
  </si>
  <si>
    <t>IBUS 'USRMDL' ID 'GEWTGDUl' 106 0 1 6 0 4 0 CON(J) to CON(J+5) /</t>
  </si>
  <si>
    <r>
      <t>VW</t>
    </r>
    <r>
      <rPr>
        <vertAlign val="subscript"/>
        <sz val="11.5"/>
        <color rgb="FF000000"/>
        <rFont val="Calibri"/>
        <family val="2"/>
        <scheme val="minor"/>
      </rPr>
      <t>G</t>
    </r>
    <r>
      <rPr>
        <sz val="11.5"/>
        <color rgb="FF000000"/>
        <rFont val="Calibri"/>
        <family val="2"/>
        <scheme val="minor"/>
      </rPr>
      <t>, gust component (m/sec)</t>
    </r>
  </si>
  <si>
    <r>
      <t>VW</t>
    </r>
    <r>
      <rPr>
        <vertAlign val="subscript"/>
        <sz val="11.5"/>
        <color rgb="FF000000"/>
        <rFont val="Calibri"/>
        <family val="2"/>
        <scheme val="minor"/>
      </rPr>
      <t>R</t>
    </r>
    <r>
      <rPr>
        <sz val="11.5"/>
        <color rgb="FF000000"/>
        <rFont val="Calibri"/>
        <family val="2"/>
        <scheme val="minor"/>
      </rPr>
      <t>, ramp component (m/sec)</t>
    </r>
  </si>
  <si>
    <r>
      <t>VW</t>
    </r>
    <r>
      <rPr>
        <vertAlign val="subscript"/>
        <sz val="11.5"/>
        <color rgb="FF000000"/>
        <rFont val="Calibri"/>
        <family val="2"/>
        <scheme val="minor"/>
      </rPr>
      <t>B</t>
    </r>
    <r>
      <rPr>
        <sz val="11.5"/>
        <color rgb="FF000000"/>
        <rFont val="Calibri"/>
        <family val="2"/>
        <scheme val="minor"/>
      </rPr>
      <t>, initial wind speed</t>
    </r>
  </si>
  <si>
    <t xml:space="preserve">          2.0000      0.40000      0.80000       10.000      0.20000E-01   0.0000</t>
  </si>
  <si>
    <t xml:space="preserve">          0.0000      0.50000      0.16700      0.90000      0.92500       0.0000       /</t>
  </si>
  <si>
    <t xml:space="preserve">         0.15000           18.000           5.0000           0.0000           0.0000</t>
  </si>
  <si>
    <t xml:space="preserve">         0.50000E-01       3.0000          0.60000           1.1200          0.40000E-01</t>
  </si>
  <si>
    <t xml:space="preserve">         0.29800         -0.29800           1.1200          0.20000E-01      0.45000</t>
  </si>
  <si>
    <t xml:space="preserve">        -0.45000           60.000          0.10000          0.90000           1.1000</t>
  </si>
  <si>
    <t xml:space="preserve">          40.000          0.50000           1.4500          0.50000E-01      0.50000E-01</t>
  </si>
  <si>
    <t xml:space="preserve">          1.0000          0.15000          0.96000          0.99600           1.0040</t>
  </si>
  <si>
    <t xml:space="preserve">          1.0400           1.0000          0.95000          0.95000          0.40000</t>
  </si>
  <si>
    <t xml:space="preserve">          1.0000          0.20000           1.0000          0.25000          -1.0000</t>
  </si>
  <si>
    <t xml:space="preserve">         0.20000           10.000           1.0000           1.7000           1.1200</t>
  </si>
  <si>
    <t xml:space="preserve">          1.2500           5.0000           0.0000           0.0000           0.0000</t>
  </si>
  <si>
    <t xml:space="preserve">         0.25000E-02       1.0000           5.5000          0.10000          -1.0000</t>
  </si>
  <si>
    <t xml:space="preserve">         0.10000           0.0000          0.10000         -0.10000          0.70000</t>
  </si>
  <si>
    <t xml:space="preserve">         0.12000         -0.12000      /</t>
  </si>
  <si>
    <t>991061 'USRMDL'  1  'GEWTPTU1'  104   0   2   10   3   3  0   0</t>
  </si>
  <si>
    <t xml:space="preserve">            0.30000          150.00          25.000          3.0000          30.000</t>
  </si>
  <si>
    <t xml:space="preserve">             -4.0000          27.000          -10.000          10.000          1.000      /</t>
  </si>
  <si>
    <t>991061 'USRMDL'  1  'GEWTARU1'  105   0   1   9   1   4  0</t>
  </si>
  <si>
    <t>991061 'USRMDL' 1   'GEWT2MU1'         103    0    1    5    4    3    0</t>
  </si>
  <si>
    <t>991061 'USRMDL'  1  'GEWTGDU1'   106    0     1    6    0    4     0</t>
  </si>
  <si>
    <t>IBUS 'USRMDL' ID 'GEWTARU1' 105 0 1 9 1 4 0 CON (J) to (J+8) /</t>
  </si>
  <si>
    <t>1'</t>
  </si>
  <si>
    <t>x</t>
  </si>
  <si>
    <r>
      <t xml:space="preserve">             </t>
    </r>
    <r>
      <rPr>
        <sz val="11.5"/>
        <color rgb="FF0070C0"/>
        <rFont val="Courier New"/>
        <family val="3"/>
      </rPr>
      <t>35.25           72.0000          1200.0</t>
    </r>
    <r>
      <rPr>
        <sz val="11.5"/>
        <color rgb="FFFF0000"/>
        <rFont val="Courier New"/>
        <family val="3"/>
      </rPr>
      <t xml:space="preserve">      /</t>
    </r>
  </si>
  <si>
    <t>SPDW1, initial arbitrary wind speed (m/sec)</t>
  </si>
  <si>
    <r>
      <rPr>
        <b/>
        <u/>
        <sz val="11.5"/>
        <color rgb="FFFF0000"/>
        <rFont val="Courier New"/>
        <family val="3"/>
      </rPr>
      <t>NOTE:</t>
    </r>
    <r>
      <rPr>
        <sz val="11.5"/>
        <color rgb="FFFF0000"/>
        <rFont val="Courier New"/>
        <family val="3"/>
      </rPr>
      <t xml:space="preserve"> Trong trường hợp các khảo sát khác biến động thời tiết thì set M = 0</t>
    </r>
  </si>
  <si>
    <t>CHÚ THÍCH</t>
  </si>
  <si>
    <t>- Tùy vào từng dự án thì set Prate và M (Number of original WTs) -&gt; Pgen = Prate*M</t>
  </si>
  <si>
    <t>- Xgen = 0.8 (trong file chạy xác lập)</t>
  </si>
  <si>
    <r>
      <rPr>
        <b/>
        <u/>
        <sz val="11.5"/>
        <color rgb="FFFF0000"/>
        <rFont val="Courier New"/>
        <family val="3"/>
      </rPr>
      <t>NOTE:</t>
    </r>
    <r>
      <rPr>
        <sz val="11.5"/>
        <color rgb="FFFF0000"/>
        <rFont val="Courier New"/>
        <family val="3"/>
      </rPr>
      <t xml:space="preserve"> </t>
    </r>
  </si>
  <si>
    <r>
      <t xml:space="preserve">               </t>
    </r>
    <r>
      <rPr>
        <sz val="11.5"/>
        <color rgb="FF0070C0"/>
        <rFont val="Courier New"/>
        <family val="3"/>
      </rPr>
      <t>0.000    0.0  0.000    0.0  0.000    0.0  0.000    0.0  0.000    0.0</t>
    </r>
    <r>
      <rPr>
        <sz val="11.5"/>
        <color rgb="FFFF0000"/>
        <rFont val="Courier New"/>
        <family val="3"/>
      </rPr>
      <t>/</t>
    </r>
  </si>
  <si>
    <t>Công suất nhà máy:</t>
  </si>
  <si>
    <t>Fix</t>
  </si>
  <si>
    <t>Với các nhập liệu ta ở mô hình GEWTDU1 được đưa ra ta  sẽ được đồ thị như sau :</t>
  </si>
  <si>
    <r>
      <t xml:space="preserve">         </t>
    </r>
    <r>
      <rPr>
        <sz val="11.5"/>
        <color rgb="FF0070C0"/>
        <rFont val="Courier New"/>
        <family val="3"/>
      </rPr>
      <t xml:space="preserve">  25.0000        60.0000        12.000</t>
    </r>
    <r>
      <rPr>
        <sz val="11.5"/>
        <color rgb="FFFF0000"/>
        <rFont val="Courier New"/>
        <family val="3"/>
      </rPr>
      <t xml:space="preserve">        8.0000        13.000        -12.000      /</t>
    </r>
  </si>
  <si>
    <r>
      <t>P</t>
    </r>
    <r>
      <rPr>
        <vertAlign val="subscript"/>
        <sz val="11.5"/>
        <rFont val="Calibri"/>
        <family val="2"/>
        <scheme val="minor"/>
      </rPr>
      <t>RATE</t>
    </r>
    <r>
      <rPr>
        <sz val="11.5"/>
        <rFont val="Calibri"/>
        <family val="2"/>
        <scheme val="minor"/>
      </rPr>
      <t>, rated power of the original unit, in MW</t>
    </r>
  </si>
  <si>
    <r>
      <t>X</t>
    </r>
    <r>
      <rPr>
        <vertAlign val="subscript"/>
        <sz val="11.5"/>
        <rFont val="Calibri"/>
        <family val="2"/>
        <scheme val="minor"/>
      </rPr>
      <t>E</t>
    </r>
    <r>
      <rPr>
        <sz val="11.5"/>
        <rFont val="Calibri"/>
        <family val="2"/>
        <scheme val="minor"/>
      </rPr>
      <t>q, equivalent reactance for current injection, in pu on MBASE</t>
    </r>
  </si>
  <si>
    <r>
      <t>V</t>
    </r>
    <r>
      <rPr>
        <vertAlign val="subscript"/>
        <sz val="11.5"/>
        <rFont val="Calibri"/>
        <family val="2"/>
        <scheme val="minor"/>
      </rPr>
      <t>LVPL</t>
    </r>
    <r>
      <rPr>
        <sz val="11.5"/>
        <rFont val="Calibri"/>
        <family val="2"/>
        <scheme val="minor"/>
      </rPr>
      <t>i, LVPL voltage 1</t>
    </r>
  </si>
  <si>
    <r>
      <t>V</t>
    </r>
    <r>
      <rPr>
        <vertAlign val="subscript"/>
        <sz val="11.5"/>
        <rFont val="Calibri"/>
        <family val="2"/>
        <scheme val="minor"/>
      </rPr>
      <t>L</t>
    </r>
    <r>
      <rPr>
        <sz val="11.5"/>
        <rFont val="Calibri"/>
        <family val="2"/>
        <scheme val="minor"/>
      </rPr>
      <t>v</t>
    </r>
    <r>
      <rPr>
        <vertAlign val="subscript"/>
        <sz val="11.5"/>
        <rFont val="Calibri"/>
        <family val="2"/>
        <scheme val="minor"/>
      </rPr>
      <t>PL2</t>
    </r>
    <r>
      <rPr>
        <sz val="11.5"/>
        <rFont val="Calibri"/>
        <family val="2"/>
        <scheme val="minor"/>
      </rPr>
      <t>,LVPL voltage 2</t>
    </r>
  </si>
  <si>
    <r>
      <t>G</t>
    </r>
    <r>
      <rPr>
        <vertAlign val="subscript"/>
        <sz val="11.5"/>
        <rFont val="Calibri"/>
        <family val="2"/>
        <scheme val="minor"/>
      </rPr>
      <t>lvpl</t>
    </r>
    <r>
      <rPr>
        <sz val="11.5"/>
        <rFont val="Calibri"/>
        <family val="2"/>
        <scheme val="minor"/>
      </rPr>
      <t>, LVPL gain</t>
    </r>
  </si>
  <si>
    <r>
      <t>CUR</t>
    </r>
    <r>
      <rPr>
        <vertAlign val="subscript"/>
        <sz val="11.5"/>
        <rFont val="Calibri"/>
        <family val="2"/>
        <scheme val="minor"/>
      </rPr>
      <t>HvRcR2</t>
    </r>
    <r>
      <rPr>
        <sz val="11.5"/>
        <rFont val="Calibri"/>
        <family val="2"/>
        <scheme val="minor"/>
      </rPr>
      <t>, max reactive current at V</t>
    </r>
    <r>
      <rPr>
        <vertAlign val="subscript"/>
        <sz val="11.5"/>
        <rFont val="Calibri"/>
        <family val="2"/>
        <scheme val="minor"/>
      </rPr>
      <t>HVRCR2</t>
    </r>
  </si>
  <si>
    <r>
      <t>V</t>
    </r>
    <r>
      <rPr>
        <vertAlign val="subscript"/>
        <sz val="11.5"/>
        <rFont val="Calibri"/>
        <family val="2"/>
        <scheme val="minor"/>
      </rPr>
      <t>LVACR1</t>
    </r>
    <r>
      <rPr>
        <sz val="11.5"/>
        <rFont val="Calibri"/>
        <family val="2"/>
        <scheme val="minor"/>
      </rPr>
      <t>, low voltage active current regulation logic, voltage 1</t>
    </r>
  </si>
  <si>
    <r>
      <t>Qdroop Branch "From Bus"</t>
    </r>
    <r>
      <rPr>
        <vertAlign val="superscript"/>
        <sz val="11.5"/>
        <rFont val="Calibri"/>
        <family val="2"/>
        <scheme val="minor"/>
      </rPr>
      <t>a</t>
    </r>
  </si>
  <si>
    <r>
      <t>Qdroop Branch "To Bus"</t>
    </r>
    <r>
      <rPr>
        <vertAlign val="superscript"/>
        <sz val="11.5"/>
        <rFont val="Calibri"/>
        <family val="2"/>
        <scheme val="minor"/>
      </rPr>
      <t>a</t>
    </r>
  </si>
  <si>
    <r>
      <t>T</t>
    </r>
    <r>
      <rPr>
        <vertAlign val="subscript"/>
        <sz val="11.5"/>
        <rFont val="Calibri"/>
        <family val="2"/>
        <scheme val="minor"/>
      </rPr>
      <t>1G</t>
    </r>
    <r>
      <rPr>
        <sz val="11.5"/>
        <rFont val="Calibri"/>
        <family val="2"/>
        <scheme val="minor"/>
      </rPr>
      <t>, gust start time (sec)</t>
    </r>
  </si>
  <si>
    <r>
      <t>T</t>
    </r>
    <r>
      <rPr>
        <vertAlign val="subscript"/>
        <sz val="11.5"/>
        <rFont val="Calibri"/>
        <family val="2"/>
        <scheme val="minor"/>
      </rPr>
      <t>g</t>
    </r>
    <r>
      <rPr>
        <sz val="11.5"/>
        <rFont val="Calibri"/>
        <family val="2"/>
        <scheme val="minor"/>
      </rPr>
      <t>, gust duration (sec)</t>
    </r>
  </si>
  <si>
    <r>
      <t>MAX</t>
    </r>
    <r>
      <rPr>
        <vertAlign val="subscript"/>
        <sz val="11.5"/>
        <rFont val="Calibri"/>
        <family val="2"/>
        <scheme val="minor"/>
      </rPr>
      <t>g</t>
    </r>
    <r>
      <rPr>
        <sz val="11.5"/>
        <rFont val="Calibri"/>
        <family val="2"/>
        <scheme val="minor"/>
      </rPr>
      <t>, Gust peak over Vwb (m/sec)</t>
    </r>
  </si>
  <si>
    <r>
      <t>T1</t>
    </r>
    <r>
      <rPr>
        <vertAlign val="subscript"/>
        <sz val="11.5"/>
        <rFont val="Calibri"/>
        <family val="2"/>
        <scheme val="minor"/>
      </rPr>
      <t>R</t>
    </r>
    <r>
      <rPr>
        <sz val="11.5"/>
        <rFont val="Calibri"/>
        <family val="2"/>
        <scheme val="minor"/>
      </rPr>
      <t>, ramp start time (sec)</t>
    </r>
  </si>
  <si>
    <r>
      <t>T2</t>
    </r>
    <r>
      <rPr>
        <vertAlign val="subscript"/>
        <sz val="11.5"/>
        <rFont val="Calibri"/>
        <family val="2"/>
        <scheme val="minor"/>
      </rPr>
      <t>r</t>
    </r>
    <r>
      <rPr>
        <sz val="11.5"/>
        <rFont val="Calibri"/>
        <family val="2"/>
        <scheme val="minor"/>
      </rPr>
      <t>, ramp end time (sec)</t>
    </r>
  </si>
  <si>
    <r>
      <t>MAX</t>
    </r>
    <r>
      <rPr>
        <vertAlign val="subscript"/>
        <sz val="11.5"/>
        <rFont val="Calibri"/>
        <family val="2"/>
        <scheme val="minor"/>
      </rPr>
      <t>r</t>
    </r>
    <r>
      <rPr>
        <sz val="11.5"/>
        <rFont val="Calibri"/>
        <family val="2"/>
        <scheme val="minor"/>
      </rPr>
      <t>, ramp maximum over Vwb (m/sec)</t>
    </r>
  </si>
  <si>
    <r>
      <t>HT</t>
    </r>
    <r>
      <rPr>
        <vertAlign val="subscript"/>
        <sz val="11.5"/>
        <rFont val="Calibri"/>
        <family val="2"/>
        <scheme val="minor"/>
      </rPr>
      <t>frac</t>
    </r>
    <r>
      <rPr>
        <sz val="11.5"/>
        <rFont val="Calibri"/>
        <family val="2"/>
        <scheme val="minor"/>
      </rPr>
      <t>, turbine inertia fraction (Hturb/H)</t>
    </r>
  </si>
  <si>
    <t>Xsource</t>
  </si>
  <si>
    <t>Subtransient X</t>
  </si>
  <si>
    <t>Transient X</t>
  </si>
  <si>
    <t>Synchronous X</t>
  </si>
  <si>
    <t>X-Negative</t>
  </si>
  <si>
    <t>X-Zero</t>
  </si>
  <si>
    <t>Machine Control Mode</t>
  </si>
  <si>
    <t>Renewable +,- Q limit based on WPF</t>
  </si>
  <si>
    <r>
      <t>SPDW</t>
    </r>
    <r>
      <rPr>
        <vertAlign val="subscript"/>
        <sz val="11.5"/>
        <rFont val="Calibri"/>
        <family val="2"/>
        <scheme val="minor"/>
      </rPr>
      <t>MAX</t>
    </r>
    <r>
      <rPr>
        <sz val="11.5"/>
        <rFont val="Calibri"/>
        <family val="2"/>
        <scheme val="minor"/>
      </rPr>
      <t>, maximum wind speed (m/sec)</t>
    </r>
  </si>
  <si>
    <r>
      <t>SPDW</t>
    </r>
    <r>
      <rPr>
        <vertAlign val="subscript"/>
        <sz val="11.5"/>
        <rFont val="Calibri"/>
        <family val="2"/>
        <scheme val="minor"/>
      </rPr>
      <t>MIN</t>
    </r>
    <r>
      <rPr>
        <sz val="11.5"/>
        <rFont val="Calibri"/>
        <family val="2"/>
        <scheme val="minor"/>
      </rPr>
      <t>, minimum wind speed (m/sec)</t>
    </r>
  </si>
  <si>
    <r>
      <t>var</t>
    </r>
    <r>
      <rPr>
        <sz val="11.5"/>
        <rFont val="Calibri"/>
        <family val="2"/>
        <scheme val="minor"/>
      </rPr>
      <t>flg</t>
    </r>
  </si>
  <si>
    <r>
      <t>APC</t>
    </r>
    <r>
      <rPr>
        <vertAlign val="subscript"/>
        <sz val="11.5"/>
        <rFont val="Calibri"/>
        <family val="2"/>
        <scheme val="minor"/>
      </rPr>
      <t>flg</t>
    </r>
    <r>
      <rPr>
        <sz val="11.5"/>
        <rFont val="Calibri"/>
        <family val="2"/>
        <scheme val="minor"/>
      </rPr>
      <t>, active power control flag</t>
    </r>
  </si>
  <si>
    <r>
      <t>FR</t>
    </r>
    <r>
      <rPr>
        <vertAlign val="subscript"/>
        <sz val="11.5"/>
        <rFont val="Calibri"/>
        <family val="2"/>
        <scheme val="minor"/>
      </rPr>
      <t>FLG</t>
    </r>
    <r>
      <rPr>
        <sz val="11.5"/>
        <rFont val="Calibri"/>
        <family val="2"/>
        <scheme val="minor"/>
      </rPr>
      <t>, frequency flag</t>
    </r>
  </si>
  <si>
    <r>
      <t>WR</t>
    </r>
    <r>
      <rPr>
        <vertAlign val="subscript"/>
        <sz val="11.5"/>
        <rFont val="Calibri"/>
        <family val="2"/>
        <scheme val="minor"/>
      </rPr>
      <t>flg</t>
    </r>
    <r>
      <rPr>
        <sz val="11.5"/>
        <rFont val="Calibri"/>
        <family val="2"/>
        <scheme val="minor"/>
      </rPr>
      <t>, wind free enabling flag</t>
    </r>
  </si>
  <si>
    <r>
      <t>T</t>
    </r>
    <r>
      <rPr>
        <vertAlign val="subscript"/>
        <sz val="11.5"/>
        <rFont val="Calibri"/>
        <family val="2"/>
        <scheme val="minor"/>
      </rPr>
      <t>P</t>
    </r>
    <r>
      <rPr>
        <sz val="11.5"/>
        <rFont val="Calibri"/>
        <family val="2"/>
        <scheme val="minor"/>
      </rPr>
      <t>, time constant of the output lag (sec)</t>
    </r>
  </si>
  <si>
    <r>
      <t>K</t>
    </r>
    <r>
      <rPr>
        <vertAlign val="subscript"/>
        <sz val="11.5"/>
        <rFont val="Calibri"/>
        <family val="2"/>
        <scheme val="minor"/>
      </rPr>
      <t>ppt</t>
    </r>
    <r>
      <rPr>
        <sz val="11.5"/>
        <rFont val="Calibri"/>
        <family val="2"/>
        <scheme val="minor"/>
      </rPr>
      <t>, proportional gain of PI regulator (pu)</t>
    </r>
  </si>
  <si>
    <r>
      <t>K</t>
    </r>
    <r>
      <rPr>
        <vertAlign val="subscript"/>
        <sz val="11.5"/>
        <rFont val="Calibri"/>
        <family val="2"/>
        <scheme val="minor"/>
      </rPr>
      <t>ipt</t>
    </r>
    <r>
      <rPr>
        <sz val="11.5"/>
        <rFont val="Calibri"/>
        <family val="2"/>
        <scheme val="minor"/>
      </rPr>
      <t>, tntegrator gain of PI regulator (pu)</t>
    </r>
  </si>
  <si>
    <r>
      <t>K</t>
    </r>
    <r>
      <rPr>
        <vertAlign val="subscript"/>
        <sz val="11.5"/>
        <rFont val="Calibri"/>
        <family val="2"/>
        <scheme val="minor"/>
      </rPr>
      <t>PC</t>
    </r>
    <r>
      <rPr>
        <sz val="11.5"/>
        <rFont val="Calibri"/>
        <family val="2"/>
        <scheme val="minor"/>
      </rPr>
      <t>, proportional gain of the compensator (pu)</t>
    </r>
  </si>
  <si>
    <r>
      <t>K</t>
    </r>
    <r>
      <rPr>
        <vertAlign val="subscript"/>
        <sz val="11.5"/>
        <rFont val="Calibri"/>
        <family val="2"/>
        <scheme val="minor"/>
      </rPr>
      <t>IC</t>
    </r>
    <r>
      <rPr>
        <sz val="11.5"/>
        <rFont val="Calibri"/>
        <family val="2"/>
        <scheme val="minor"/>
      </rPr>
      <t>, integrator gain of the compensator (pu)</t>
    </r>
  </si>
  <si>
    <r>
      <t>0</t>
    </r>
    <r>
      <rPr>
        <vertAlign val="subscript"/>
        <sz val="11.5"/>
        <rFont val="Calibri"/>
        <family val="2"/>
        <scheme val="minor"/>
      </rPr>
      <t>MIN</t>
    </r>
    <r>
      <rPr>
        <sz val="11.5"/>
        <rFont val="Calibri"/>
        <family val="2"/>
        <scheme val="minor"/>
      </rPr>
      <t>, lower pitch angle limit (degrees)</t>
    </r>
  </si>
  <si>
    <r>
      <t>0</t>
    </r>
    <r>
      <rPr>
        <vertAlign val="subscript"/>
        <sz val="11.5"/>
        <rFont val="Calibri"/>
        <family val="2"/>
        <scheme val="minor"/>
      </rPr>
      <t>MAX</t>
    </r>
    <r>
      <rPr>
        <sz val="11.5"/>
        <rFont val="Calibri"/>
        <family val="2"/>
        <scheme val="minor"/>
      </rPr>
      <t>, upper pitch angle limit (degrees)</t>
    </r>
  </si>
  <si>
    <r>
      <rPr>
        <sz val="11.5"/>
        <rFont val="Calibri"/>
        <family val="2"/>
        <scheme val="minor"/>
      </rPr>
      <t>d0/dt</t>
    </r>
    <r>
      <rPr>
        <vertAlign val="subscript"/>
        <sz val="11.5"/>
        <rFont val="Calibri"/>
        <family val="2"/>
        <scheme val="minor"/>
      </rPr>
      <t>MIN</t>
    </r>
    <r>
      <rPr>
        <sz val="11.5"/>
        <rFont val="Calibri"/>
        <family val="2"/>
        <scheme val="minor"/>
      </rPr>
      <t>, lower pitch angle rate limit (degrees/sec)</t>
    </r>
  </si>
  <si>
    <r>
      <t>d0/dt</t>
    </r>
    <r>
      <rPr>
        <vertAlign val="subscript"/>
        <sz val="11.5"/>
        <rFont val="Calibri"/>
        <family val="2"/>
        <scheme val="minor"/>
      </rPr>
      <t>MAX</t>
    </r>
    <r>
      <rPr>
        <sz val="11.5"/>
        <rFont val="Calibri"/>
        <family val="2"/>
        <scheme val="minor"/>
      </rPr>
      <t>, upper pitch angle rate limit (degrees/sec)</t>
    </r>
  </si>
  <si>
    <r>
      <t>P</t>
    </r>
    <r>
      <rPr>
        <vertAlign val="subscript"/>
        <sz val="11.5"/>
        <rFont val="Calibri"/>
        <family val="2"/>
        <scheme val="minor"/>
      </rPr>
      <t>REF</t>
    </r>
    <r>
      <rPr>
        <sz val="11.5"/>
        <rFont val="Calibri"/>
        <family val="2"/>
        <scheme val="minor"/>
      </rPr>
      <t>, power reference</t>
    </r>
  </si>
  <si>
    <r>
      <t>^</t>
    </r>
    <r>
      <rPr>
        <vertAlign val="subscript"/>
        <sz val="11.5"/>
        <rFont val="Calibri"/>
        <family val="2"/>
        <scheme val="minor"/>
      </rPr>
      <t>MAX</t>
    </r>
    <r>
      <rPr>
        <sz val="11.5"/>
        <rFont val="Calibri"/>
        <family val="2"/>
        <scheme val="minor"/>
      </rPr>
      <t>, maximum Lambda from Cp curves</t>
    </r>
  </si>
  <si>
    <r>
      <t>^</t>
    </r>
    <r>
      <rPr>
        <vertAlign val="subscript"/>
        <sz val="11.5"/>
        <rFont val="Calibri"/>
        <family val="2"/>
        <scheme val="minor"/>
      </rPr>
      <t>MIN</t>
    </r>
    <r>
      <rPr>
        <sz val="11.5"/>
        <rFont val="Calibri"/>
        <family val="2"/>
        <scheme val="minor"/>
      </rPr>
      <t>, minimum Lambda from Cp curves</t>
    </r>
  </si>
  <si>
    <r>
      <t>PITCH</t>
    </r>
    <r>
      <rPr>
        <vertAlign val="subscript"/>
        <sz val="11.5"/>
        <rFont val="Calibri"/>
        <family val="2"/>
        <scheme val="minor"/>
      </rPr>
      <t>MAX</t>
    </r>
    <r>
      <rPr>
        <sz val="11.5"/>
        <rFont val="Calibri"/>
        <family val="2"/>
        <scheme val="minor"/>
      </rPr>
      <t>, upper limit of pitch angle</t>
    </r>
  </si>
  <si>
    <r>
      <t>PITCH</t>
    </r>
    <r>
      <rPr>
        <vertAlign val="subscript"/>
        <sz val="11.5"/>
        <rFont val="Calibri"/>
        <family val="2"/>
        <scheme val="minor"/>
      </rPr>
      <t>MIN</t>
    </r>
    <r>
      <rPr>
        <sz val="11.5"/>
        <rFont val="Calibri"/>
        <family val="2"/>
        <scheme val="minor"/>
      </rPr>
      <t>, lower limit of pitch angle</t>
    </r>
  </si>
  <si>
    <r>
      <t>T</t>
    </r>
    <r>
      <rPr>
        <vertAlign val="subscript"/>
        <sz val="11.5"/>
        <rFont val="Calibri"/>
        <family val="2"/>
        <scheme val="minor"/>
      </rPr>
      <t>a</t>
    </r>
    <r>
      <rPr>
        <sz val="11.5"/>
        <rFont val="Calibri"/>
        <family val="2"/>
        <scheme val="minor"/>
      </rPr>
      <t>, time constant of the conversion smoothing</t>
    </r>
  </si>
  <si>
    <r>
      <t>GB</t>
    </r>
    <r>
      <rPr>
        <vertAlign val="subscript"/>
        <sz val="11.5"/>
        <rFont val="Calibri"/>
        <family val="2"/>
        <scheme val="minor"/>
      </rPr>
      <t>ratio</t>
    </r>
    <r>
      <rPr>
        <sz val="11.5"/>
        <rFont val="Calibri"/>
        <family val="2"/>
        <scheme val="minor"/>
      </rPr>
      <t>, gear box ratio</t>
    </r>
  </si>
  <si>
    <r>
      <t>•</t>
    </r>
    <r>
      <rPr>
        <sz val="11.5"/>
        <rFont val="Times New Roman"/>
        <family val="1"/>
      </rPr>
      <t xml:space="preserve">   </t>
    </r>
    <r>
      <rPr>
        <sz val="11.5"/>
        <rFont val="Calibri"/>
        <family val="2"/>
      </rPr>
      <t>1 if PF fast control enabled</t>
    </r>
  </si>
  <si>
    <r>
      <t>•</t>
    </r>
    <r>
      <rPr>
        <sz val="11.5"/>
        <rFont val="Times New Roman"/>
        <family val="1"/>
      </rPr>
      <t xml:space="preserve">   </t>
    </r>
    <r>
      <rPr>
        <sz val="11.5"/>
        <rFont val="Calibri"/>
        <family val="2"/>
      </rPr>
      <t>0 if PF fast control disabled</t>
    </r>
  </si>
  <si>
    <r>
      <t>•</t>
    </r>
    <r>
      <rPr>
        <sz val="11.5"/>
        <rFont val="Times New Roman"/>
        <family val="1"/>
      </rPr>
      <t xml:space="preserve">   </t>
    </r>
    <r>
      <rPr>
        <sz val="11.5"/>
        <rFont val="Calibri"/>
        <family val="2"/>
      </rPr>
      <t>1 if Qord is provided by WindVar</t>
    </r>
  </si>
  <si>
    <r>
      <t>•</t>
    </r>
    <r>
      <rPr>
        <sz val="11.5"/>
        <rFont val="Times New Roman"/>
        <family val="1"/>
      </rPr>
      <t xml:space="preserve">   </t>
    </r>
    <r>
      <rPr>
        <sz val="11.5"/>
        <rFont val="Calibri"/>
        <family val="2"/>
      </rPr>
      <t>0 if Qord is not provided by WindVar, if VARFLG = PFAFLG = 0 then Qord is provided as as Qref = const</t>
    </r>
  </si>
  <si>
    <r>
      <t>•</t>
    </r>
    <r>
      <rPr>
        <sz val="11.5"/>
        <rFont val="Times New Roman"/>
        <family val="1"/>
      </rPr>
      <t xml:space="preserve">   </t>
    </r>
    <r>
      <rPr>
        <sz val="11.5"/>
        <rFont val="Calibri"/>
        <family val="2"/>
      </rPr>
      <t>0 - Q priority</t>
    </r>
  </si>
  <si>
    <r>
      <t>•</t>
    </r>
    <r>
      <rPr>
        <sz val="11.5"/>
        <rFont val="Times New Roman"/>
        <family val="1"/>
      </rPr>
      <t xml:space="preserve">   </t>
    </r>
    <r>
      <rPr>
        <sz val="11.5"/>
        <rFont val="Calibri"/>
        <family val="2"/>
      </rPr>
      <t>1 - P priority</t>
    </r>
  </si>
  <si>
    <r>
      <t>•</t>
    </r>
    <r>
      <rPr>
        <sz val="11.5"/>
        <rFont val="Times New Roman"/>
        <family val="1"/>
      </rPr>
      <t xml:space="preserve">   </t>
    </r>
    <r>
      <rPr>
        <sz val="11.5"/>
        <rFont val="Calibri"/>
        <family val="2"/>
      </rPr>
      <t>1 : model is in service</t>
    </r>
  </si>
  <si>
    <r>
      <t>•</t>
    </r>
    <r>
      <rPr>
        <sz val="11.5"/>
        <rFont val="Times New Roman"/>
        <family val="1"/>
      </rPr>
      <t xml:space="preserve">   </t>
    </r>
    <r>
      <rPr>
        <sz val="11.5"/>
        <rFont val="Calibri"/>
        <family val="2"/>
      </rPr>
      <t>0: model is OFF</t>
    </r>
  </si>
  <si>
    <r>
      <rPr>
        <sz val="11.5"/>
        <color rgb="FF0070C0"/>
        <rFont val="Courier New"/>
        <family val="3"/>
      </rPr>
      <t>991081</t>
    </r>
    <r>
      <rPr>
        <sz val="11.5"/>
        <rFont val="Courier New"/>
        <family val="3"/>
      </rPr>
      <t xml:space="preserve"> 'USRMDL' 1  'PVGU1'      101   1   0   9   3   3</t>
    </r>
  </si>
  <si>
    <r>
      <t xml:space="preserve">         </t>
    </r>
    <r>
      <rPr>
        <sz val="11.5"/>
        <rFont val="Courier New"/>
        <family val="3"/>
      </rPr>
      <t xml:space="preserve">0.20000E-01  0.20000E-01  0.40000      0.90000    </t>
    </r>
  </si>
  <si>
    <r>
      <t xml:space="preserve">          </t>
    </r>
    <r>
      <rPr>
        <sz val="11.5"/>
        <rFont val="Courier New"/>
        <family val="3"/>
      </rPr>
      <t>1.1100       1.2000       2.0000       2.0000      0.20000E-01  /</t>
    </r>
  </si>
  <si>
    <r>
      <rPr>
        <sz val="11.5"/>
        <color rgb="FF0070C0"/>
        <rFont val="Courier New"/>
        <family val="3"/>
      </rPr>
      <t>991081</t>
    </r>
    <r>
      <rPr>
        <sz val="11.5"/>
        <color rgb="FFFF0000"/>
        <rFont val="Courier New"/>
        <family val="3"/>
      </rPr>
      <t xml:space="preserve"> </t>
    </r>
    <r>
      <rPr>
        <sz val="11.5"/>
        <rFont val="Courier New"/>
        <family val="3"/>
      </rPr>
      <t>'USRMDL' 1  'PVEU1'      102   0   4   24   10   4</t>
    </r>
  </si>
  <si>
    <r>
      <t xml:space="preserve">       </t>
    </r>
    <r>
      <rPr>
        <sz val="11.5"/>
        <color rgb="FF0070C0"/>
        <rFont val="Courier New"/>
        <family val="3"/>
      </rPr>
      <t>191081</t>
    </r>
    <r>
      <rPr>
        <sz val="11.5"/>
        <color rgb="FFFF0000"/>
        <rFont val="Courier New"/>
        <family val="3"/>
      </rPr>
      <t xml:space="preserve">       </t>
    </r>
    <r>
      <rPr>
        <sz val="11.5"/>
        <rFont val="Courier New"/>
        <family val="3"/>
      </rPr>
      <t xml:space="preserve">  0         1         0</t>
    </r>
  </si>
  <si>
    <r>
      <t xml:space="preserve">         </t>
    </r>
    <r>
      <rPr>
        <sz val="11.5"/>
        <rFont val="Courier New"/>
        <family val="3"/>
      </rPr>
      <t>0.15000              18.000              5.0000             0.50000E-01         0.10000</t>
    </r>
  </si>
  <si>
    <r>
      <t xml:space="preserve">          </t>
    </r>
    <r>
      <rPr>
        <sz val="11.5"/>
        <rFont val="Courier New"/>
        <family val="3"/>
      </rPr>
      <t>0.0000             0.80000E-01         0.47000            -0.47000              1.1000</t>
    </r>
  </si>
  <si>
    <r>
      <t xml:space="preserve">          </t>
    </r>
    <r>
      <rPr>
        <sz val="11.5"/>
        <rFont val="Courier New"/>
        <family val="3"/>
      </rPr>
      <t>0.0000             0.50000            -0.50000             0.50000E-01         0.10000</t>
    </r>
  </si>
  <si>
    <r>
      <t xml:space="preserve">        </t>
    </r>
    <r>
      <rPr>
        <sz val="11.5"/>
        <rFont val="Courier New"/>
        <family val="3"/>
      </rPr>
      <t xml:space="preserve"> 0.90000              1.1000              120.00             0.50000E-01         0.50000E-01</t>
    </r>
  </si>
  <si>
    <r>
      <rPr>
        <sz val="11.5"/>
        <color rgb="FF0070C0"/>
        <rFont val="Courier New"/>
        <family val="3"/>
      </rPr>
      <t>991081</t>
    </r>
    <r>
      <rPr>
        <sz val="11.5"/>
        <color rgb="FFFF0000"/>
        <rFont val="Courier New"/>
        <family val="3"/>
      </rPr>
      <t xml:space="preserve"> </t>
    </r>
    <r>
      <rPr>
        <sz val="11.5"/>
        <rFont val="Courier New"/>
        <family val="3"/>
      </rPr>
      <t>'USRMDL' 1  'PANELU1'  103    0    0    5    0    1</t>
    </r>
  </si>
  <si>
    <r>
      <t xml:space="preserve">      </t>
    </r>
    <r>
      <rPr>
        <sz val="11.5"/>
        <rFont val="Courier New"/>
        <family val="3"/>
      </rPr>
      <t xml:space="preserve"> 0.160  0.380  0.590  0.850  1.000 /</t>
    </r>
  </si>
  <si>
    <r>
      <rPr>
        <sz val="11.5"/>
        <color rgb="FF0070C0"/>
        <rFont val="Courier New"/>
        <family val="3"/>
      </rPr>
      <t>991081</t>
    </r>
    <r>
      <rPr>
        <sz val="11.5"/>
        <color rgb="FFFF0000"/>
        <rFont val="Courier New"/>
        <family val="3"/>
      </rPr>
      <t xml:space="preserve"> </t>
    </r>
    <r>
      <rPr>
        <sz val="11.5"/>
        <rFont val="Courier New"/>
        <family val="3"/>
      </rPr>
      <t xml:space="preserve">'USRMDL' 1  'IRRADU1' 104    0    1    20    0    1   </t>
    </r>
    <r>
      <rPr>
        <sz val="11.5"/>
        <color rgb="FF0070C0"/>
        <rFont val="Courier New"/>
        <family val="3"/>
      </rPr>
      <t>1</t>
    </r>
  </si>
  <si>
    <r>
      <t xml:space="preserve">          </t>
    </r>
    <r>
      <rPr>
        <sz val="11.5"/>
        <rFont val="Courier New"/>
        <family val="3"/>
      </rPr>
      <t xml:space="preserve">1.7000              1.1100              1.1100              </t>
    </r>
    <r>
      <rPr>
        <sz val="11.5"/>
        <color rgb="FF0070C0"/>
        <rFont val="Courier New"/>
        <family val="3"/>
      </rPr>
      <t xml:space="preserve">100.00 </t>
    </r>
    <r>
      <rPr>
        <sz val="11.5"/>
        <rFont val="Courier New"/>
        <family val="3"/>
      </rPr>
      <t xml:space="preserve">    /</t>
    </r>
  </si>
  <si>
    <r>
      <rPr>
        <b/>
        <u/>
        <sz val="11.5"/>
        <color rgb="FFFF0000"/>
        <rFont val="Courier New"/>
        <family val="3"/>
      </rPr>
      <t>NOTE:</t>
    </r>
    <r>
      <rPr>
        <sz val="11.5"/>
        <color rgb="FFFF0000"/>
        <rFont val="Courier New"/>
        <family val="3"/>
      </rPr>
      <t xml:space="preserve"> Trong trường hợp các khảo sát khác biến động thời tiết thì set T</t>
    </r>
    <r>
      <rPr>
        <vertAlign val="subscript"/>
        <sz val="11.5"/>
        <color rgb="FFFF0000"/>
        <rFont val="Courier New"/>
        <family val="3"/>
      </rPr>
      <t>1G</t>
    </r>
    <r>
      <rPr>
        <sz val="11.5"/>
        <color rgb="FFFF0000"/>
        <rFont val="Courier New"/>
        <family val="3"/>
      </rPr>
      <t xml:space="preserve"> = T1R = T2R = 9999 và MAXr = 0</t>
    </r>
  </si>
  <si>
    <t>NOTE</t>
  </si>
  <si>
    <r>
      <t xml:space="preserve">          </t>
    </r>
    <r>
      <rPr>
        <sz val="11.5"/>
        <color rgb="FF0070C0"/>
        <rFont val="Courier New"/>
        <family val="3"/>
      </rPr>
      <t>1.500      0.80000</t>
    </r>
    <r>
      <rPr>
        <sz val="11.5"/>
        <color rgb="FFC00000"/>
        <rFont val="Courier New"/>
        <family val="3"/>
      </rPr>
      <t xml:space="preserve">      </t>
    </r>
    <r>
      <rPr>
        <sz val="11.5"/>
        <rFont val="Courier New"/>
        <family val="3"/>
      </rPr>
      <t>0.50000      0.90000       1.2200       1.2000</t>
    </r>
  </si>
  <si>
    <r>
      <rPr>
        <sz val="11.5"/>
        <color rgb="FF0070C0"/>
        <rFont val="Courier New"/>
        <family val="3"/>
      </rPr>
      <t xml:space="preserve"> 991061</t>
    </r>
    <r>
      <rPr>
        <sz val="11.5"/>
        <color rgb="FFC00000"/>
        <rFont val="Courier New"/>
        <family val="3"/>
      </rPr>
      <t xml:space="preserve">  </t>
    </r>
    <r>
      <rPr>
        <sz val="11.5"/>
        <rFont val="Courier New"/>
        <family val="3"/>
      </rPr>
      <t>'USRMDL'  1   'GEWTGCU1'   101   1   2   18   3   3</t>
    </r>
    <r>
      <rPr>
        <sz val="11.5"/>
        <color rgb="FFC00000"/>
        <rFont val="Courier New"/>
        <family val="3"/>
      </rPr>
      <t xml:space="preserve">    </t>
    </r>
    <r>
      <rPr>
        <sz val="11.5"/>
        <color rgb="FF0070C0"/>
        <rFont val="Courier New"/>
        <family val="3"/>
      </rPr>
      <t xml:space="preserve"> 200</t>
    </r>
    <r>
      <rPr>
        <sz val="11.5"/>
        <color rgb="FFC00000"/>
        <rFont val="Courier New"/>
        <family val="3"/>
      </rPr>
      <t xml:space="preserve">      </t>
    </r>
    <r>
      <rPr>
        <sz val="11.5"/>
        <rFont val="Courier New"/>
        <family val="3"/>
      </rPr>
      <t xml:space="preserve"> 0</t>
    </r>
  </si>
  <si>
    <r>
      <t xml:space="preserve"> </t>
    </r>
    <r>
      <rPr>
        <sz val="11.5"/>
        <color rgb="FF0070C0"/>
        <rFont val="Courier New"/>
        <family val="3"/>
      </rPr>
      <t>991061</t>
    </r>
    <r>
      <rPr>
        <sz val="11.5"/>
        <color rgb="FFFF0000"/>
        <rFont val="Courier New"/>
        <family val="3"/>
      </rPr>
      <t xml:space="preserve"> </t>
    </r>
    <r>
      <rPr>
        <sz val="11.5"/>
        <rFont val="Courier New"/>
        <family val="3"/>
      </rPr>
      <t>'USRMDL' 1  'GEWTECU1'  102  0   9   67   18   16</t>
    </r>
  </si>
  <si>
    <r>
      <t xml:space="preserve">       </t>
    </r>
    <r>
      <rPr>
        <sz val="11.5"/>
        <color rgb="FF0070C0"/>
        <rFont val="Courier New"/>
        <family val="3"/>
      </rPr>
      <t xml:space="preserve"> 191061</t>
    </r>
    <r>
      <rPr>
        <sz val="11.5"/>
        <color rgb="FFFF0000"/>
        <rFont val="Courier New"/>
        <family val="3"/>
      </rPr>
      <t xml:space="preserve">     </t>
    </r>
    <r>
      <rPr>
        <sz val="11.5"/>
        <rFont val="Courier New"/>
        <family val="3"/>
      </rPr>
      <t xml:space="preserve"> 0      1      0      0    </t>
    </r>
    <r>
      <rPr>
        <sz val="11.5"/>
        <color rgb="FFFF0000"/>
        <rFont val="Courier New"/>
        <family val="3"/>
      </rPr>
      <t xml:space="preserve">      </t>
    </r>
    <r>
      <rPr>
        <sz val="11.5"/>
        <color rgb="FF0070C0"/>
        <rFont val="Courier New"/>
        <family val="3"/>
      </rPr>
      <t>191061          991061    '1'</t>
    </r>
    <r>
      <rPr>
        <sz val="11.5"/>
        <color rgb="FFFF0000"/>
        <rFont val="Courier New"/>
        <family val="3"/>
      </rPr>
      <t xml:space="preserve">      </t>
    </r>
    <r>
      <rPr>
        <sz val="11.5"/>
        <rFont val="Courier New"/>
        <family val="3"/>
      </rPr>
      <t>1</t>
    </r>
  </si>
  <si>
    <r>
      <t xml:space="preserve">          </t>
    </r>
    <r>
      <rPr>
        <sz val="11.5"/>
        <color rgb="FF0070C0"/>
        <rFont val="Courier New"/>
        <family val="3"/>
      </rPr>
      <t>15.000           25.000           3.0000</t>
    </r>
    <r>
      <rPr>
        <sz val="11.5"/>
        <color rgb="FFFF0000"/>
        <rFont val="Courier New"/>
        <family val="3"/>
      </rPr>
      <t xml:space="preserve">      </t>
    </r>
    <r>
      <rPr>
        <sz val="11.5"/>
        <rFont val="Courier New"/>
        <family val="3"/>
      </rPr>
      <t xml:space="preserve">   -0.90000           8.0000</t>
    </r>
  </si>
  <si>
    <r>
      <t xml:space="preserve">           </t>
    </r>
    <r>
      <rPr>
        <sz val="11.5"/>
        <rFont val="Courier New"/>
        <family val="3"/>
      </rPr>
      <t xml:space="preserve">  20.000          0.0000          27.000          -4.0000          0.000  </t>
    </r>
    <r>
      <rPr>
        <sz val="11.5"/>
        <color rgb="FFFF0000"/>
        <rFont val="Courier New"/>
        <family val="3"/>
      </rPr>
      <t xml:space="preserve">        </t>
    </r>
    <r>
      <rPr>
        <sz val="11.5"/>
        <color rgb="FF0070C0"/>
        <rFont val="Courier New"/>
        <family val="3"/>
      </rPr>
      <t>1.225</t>
    </r>
  </si>
  <si>
    <r>
      <t xml:space="preserve">            </t>
    </r>
    <r>
      <rPr>
        <sz val="11.5"/>
        <color rgb="FFC00000"/>
        <rFont val="Courier New"/>
        <family val="3"/>
      </rPr>
      <t xml:space="preserve"> </t>
    </r>
    <r>
      <rPr>
        <sz val="11.5"/>
        <color rgb="FF0070C0"/>
        <rFont val="Courier New"/>
        <family val="3"/>
      </rPr>
      <t xml:space="preserve">9.0000  </t>
    </r>
    <r>
      <rPr>
        <sz val="11.5"/>
        <color rgb="FFFF0000"/>
        <rFont val="Courier New"/>
        <family val="3"/>
      </rPr>
      <t xml:space="preserve">       </t>
    </r>
    <r>
      <rPr>
        <sz val="11.5"/>
        <rFont val="Courier New"/>
        <family val="3"/>
      </rPr>
      <t xml:space="preserve"> 0.0000          0.0000          1.246          1.500      /</t>
    </r>
  </si>
  <si>
    <t>Trước khi thực hiện mô phỏng ổn định động, cần thực hiện cài đặt thông số trong file tính toán xác lập ở Tab "Machine" như sau:</t>
  </si>
  <si>
    <t>LOẠI NGUỒN NLTT KHẢO SÁT</t>
  </si>
  <si>
    <t>Solar power</t>
  </si>
  <si>
    <t>Wind power - Type 4</t>
  </si>
  <si>
    <t>Wind power - Type 3</t>
  </si>
  <si>
    <t>- Mô hình Solar và Wind Type 4 sẽ sử dụng cùng mô hình mô phỏng ổn định động nên cài đặt thông số giống nhau.</t>
  </si>
  <si>
    <t>Hướng dẫn nhập thông số các mô hình ổn định động ở các sheet sau:</t>
  </si>
  <si>
    <t>Sheet</t>
  </si>
  <si>
    <t>Mô hình</t>
  </si>
  <si>
    <t>SOLAR&amp;WIND-TYPE4</t>
  </si>
  <si>
    <t>- Chi tiết các thông số thể hiện trong từng Sheet</t>
  </si>
  <si>
    <t>NOTE 1:</t>
  </si>
  <si>
    <t>NOTE 2:</t>
  </si>
  <si>
    <t>Kịch bản</t>
  </si>
  <si>
    <t>Giá trị</t>
  </si>
  <si>
    <t>Tên nhà máy</t>
  </si>
  <si>
    <t>'USRMDL'</t>
  </si>
  <si>
    <t>'PVGU1'</t>
  </si>
  <si>
    <t>/</t>
  </si>
  <si>
    <t>'PVEU1'</t>
  </si>
  <si>
    <t xml:space="preserve">'PANELU1' </t>
  </si>
  <si>
    <t xml:space="preserve">'IRRADU1' </t>
  </si>
  <si>
    <t xml:space="preserve">/ </t>
  </si>
  <si>
    <r>
      <t xml:space="preserve">      </t>
    </r>
    <r>
      <rPr>
        <sz val="11.5"/>
        <color rgb="FF0070C0"/>
        <rFont val="Courier New"/>
        <family val="3"/>
      </rPr>
      <t>5.000 1000.0  15.000 1000.0 18.000  100.0 55.000  100.0 58.000 1000.0</t>
    </r>
  </si>
  <si>
    <t>Chi tiết thông số của các mô hình</t>
  </si>
  <si>
    <t>Các thông số đầu vào cần nhập</t>
  </si>
  <si>
    <t>MW</t>
  </si>
  <si>
    <t>Bus thứ cấp của nhà máy (đấu nối vào hệ thống)</t>
  </si>
  <si>
    <t>Bus sơ cấp của nhà máy</t>
  </si>
  <si>
    <t>Hạng mục</t>
  </si>
  <si>
    <t>Chú thích</t>
  </si>
  <si>
    <t>Data dùng để copy vào file *.dyr:</t>
  </si>
  <si>
    <t>Các thông số đầu vào cần nhập (Tham khảo mô hình điện gió Type 3 công suất 300MW</t>
  </si>
  <si>
    <t>Khai Long WPP</t>
  </si>
  <si>
    <t>'GEWTGCU1'</t>
  </si>
  <si>
    <t>'GEWTECU1'</t>
  </si>
  <si>
    <t>'GEWT2MU1'</t>
  </si>
  <si>
    <t>'GEWTPTU1'</t>
  </si>
  <si>
    <t>'GEWTARU1'</t>
  </si>
  <si>
    <t>'GEWTGDU1'</t>
  </si>
  <si>
    <t>'1'</t>
  </si>
  <si>
    <t>Đối với mô phỏng biến động công suất do thời tiết, cần đặt hệ số quán tính này cao để turbine có khả năng phát CS ổn định.</t>
  </si>
  <si>
    <t>Trong trường hợp ở đây chọn H = 9 ứng với công suất nhà máy là 300MW. Đối với từng dự án cụ thể cần điều chỉnh H cho phù hợp</t>
  </si>
  <si>
    <t>Solar</t>
  </si>
  <si>
    <t xml:space="preserve"> </t>
  </si>
  <si>
    <t>WIND-TYPE3 CHO KB BDCS</t>
  </si>
  <si>
    <t>WIND-TYPE3 CHO KB NGAN MACH</t>
  </si>
  <si>
    <t>Wind - Type 3 cho khảo sát biến động CS theo thời tiết</t>
  </si>
  <si>
    <t>Bus 22kV khảo sát</t>
  </si>
  <si>
    <t>Bus 220/110kV khảo sát</t>
  </si>
  <si>
    <t>0: Sử dụng mô hình để khảo sát ngắn mạch;
1: Sử dụng mô hình để khảo sát biến động CS theo thời tiết</t>
  </si>
  <si>
    <t>tham số mặc định</t>
  </si>
  <si>
    <t>Enter input</t>
  </si>
  <si>
    <t>input data</t>
  </si>
  <si>
    <t>key data</t>
  </si>
  <si>
    <t>chưa nghiên cứu tính ảnh hưởng đến mô hình, người dùng nghiên cứu thêm</t>
  </si>
  <si>
    <t xml:space="preserve"> dữ liệu đầu vào/ tham khảo số của file, thay đổi tùy từng dự án và tiêu chí</t>
  </si>
  <si>
    <t>dữ liệu đầu vào tiên quyết cho mô hình, ảnh hưởng lớn đến kết quả mô phỏng</t>
  </si>
  <si>
    <t>Wind - Type 3 cho khảo sát ngắn mạch</t>
  </si>
  <si>
    <t>Solar power &amp; Wind - Type 4 cho khảo sát biến động CS theo thời tiết và ngắn mạch</t>
  </si>
  <si>
    <t xml:space="preserve">- Wind-Type 3: Doubly-fed asynchronous generators with rotor-side converter </t>
  </si>
  <si>
    <t>- Wind-Type 4: Full-power converter interface</t>
  </si>
  <si>
    <t>Diễn giải</t>
  </si>
  <si>
    <t>Công suất đặt của nhà máy</t>
  </si>
  <si>
    <t>Tỷ lệ Pphát/Pđặt tại mức bức xạ 200 W/ m2</t>
  </si>
  <si>
    <t>Tỷ lệ Pphát/Pđặt tại mức bức xạ 400 W/ m2</t>
  </si>
  <si>
    <t>Tỷ lệ Pphát/Pđặt tại mức bức xạ 600 W/ m2</t>
  </si>
  <si>
    <t>Tỷ lệ Pphát/Pđặt tại mức bức xạ 800 W/ m2</t>
  </si>
  <si>
    <t>Tỷ lệ Pphát/Pđặt tại mức bức xạ 1000 W/ m2</t>
  </si>
  <si>
    <t>Tùy chọn 2 chế độ của model:</t>
  </si>
  <si>
    <t>1: Sử dụng model này</t>
  </si>
  <si>
    <t>0: Không sử dụng model này</t>
  </si>
  <si>
    <t>Công suất định mức của 1 turbine</t>
  </si>
  <si>
    <t>Trở kháng turbine, lấy theo giá trị theo file .sav</t>
  </si>
  <si>
    <t>Số lượng turine = Công suất NM/Công suất định mức của 1 turbine</t>
  </si>
  <si>
    <t>Giới hạn trên và dưới của Q, ảnh hưởng đến việc tạo ra file động, và được hiệu chỉnh tùy thuộc từng dự án</t>
  </si>
  <si>
    <t>Nếu tốc gió lớn hơn 25m/s thì turbine dừng hoạt động (P=0)</t>
  </si>
  <si>
    <t>Nếu tốc gió nhỏ hơn 3m/s thì turbine không phát công suất (P=0)</t>
  </si>
  <si>
    <t>Tốc độ gió khởi tạo của turbine</t>
  </si>
  <si>
    <t>Hệ số quán tính của hệ thống truyền lực</t>
  </si>
  <si>
    <t>Chi tiết tham khảo hình kế bên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</si>
</sst>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7" x14ac:knownFonts="1">
    <font>
      <sz val="11"/>
      <color theme="1"/>
      <name val="Calibri"/>
      <family val="2"/>
      <scheme val="minor"/>
    </font>
    <font>
      <sz val="12"/>
      <color rgb="FF000000"/>
      <name val="Courier New"/>
      <family val="3"/>
    </font>
    <font>
      <b/>
      <sz val="9"/>
      <color rgb="FF000000"/>
      <name val="Courier New"/>
      <family val="3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FF0000"/>
      <name val="Courier New"/>
      <family val="3"/>
    </font>
    <font>
      <sz val="11.5"/>
      <color rgb="FF000000"/>
      <name val="Calibri"/>
      <family val="2"/>
      <scheme val="minor"/>
    </font>
    <font>
      <sz val="11.5"/>
      <color rgb="FF000000"/>
      <name val="Calibri"/>
      <family val="2"/>
    </font>
    <font>
      <sz val="11.5"/>
      <color theme="1"/>
      <name val="Times New Roman"/>
      <family val="1"/>
    </font>
    <font>
      <sz val="11.5"/>
      <color rgb="FFFF0000"/>
      <name val="Courier New"/>
      <family val="3"/>
    </font>
    <font>
      <vertAlign val="subscript"/>
      <sz val="11.5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sz val="11.5"/>
      <color rgb="FFC00000"/>
      <name val="Calibri"/>
      <family val="2"/>
      <scheme val="minor"/>
    </font>
    <font>
      <sz val="11.5"/>
      <color rgb="FFC00000"/>
      <name val="Courier New"/>
      <family val="3"/>
    </font>
    <font>
      <sz val="11.5"/>
      <color rgb="FF0070C0"/>
      <name val="Calibri"/>
      <family val="2"/>
      <scheme val="minor"/>
    </font>
    <font>
      <sz val="11.5"/>
      <color rgb="FF0070C0"/>
      <name val="Courier New"/>
      <family val="3"/>
    </font>
    <font>
      <b/>
      <sz val="11"/>
      <color rgb="FF000000"/>
      <name val="Calibri"/>
      <family val="2"/>
      <scheme val="minor"/>
    </font>
    <font>
      <vertAlign val="subscript"/>
      <sz val="11.5"/>
      <color rgb="FFFF0000"/>
      <name val="Courier New"/>
      <family val="3"/>
    </font>
    <font>
      <b/>
      <u/>
      <sz val="11.5"/>
      <color rgb="FFFF0000"/>
      <name val="Courier New"/>
      <family val="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1.5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.5"/>
      <name val="Calibri"/>
      <family val="2"/>
      <scheme val="minor"/>
    </font>
    <font>
      <vertAlign val="subscript"/>
      <sz val="11.5"/>
      <name val="Calibri"/>
      <family val="2"/>
      <scheme val="minor"/>
    </font>
    <font>
      <vertAlign val="superscript"/>
      <sz val="11.5"/>
      <name val="Calibri"/>
      <family val="2"/>
      <scheme val="minor"/>
    </font>
    <font>
      <sz val="11.5"/>
      <name val="Calibri"/>
      <family val="2"/>
    </font>
    <font>
      <sz val="11.5"/>
      <name val="Times New Roman"/>
      <family val="1"/>
    </font>
    <font>
      <sz val="11.5"/>
      <name val="Courier New"/>
      <family val="3"/>
    </font>
    <font>
      <sz val="13"/>
      <color rgb="FF0070C0"/>
      <name val="Times New Roman"/>
      <family val="1"/>
    </font>
    <font>
      <i/>
      <sz val="12"/>
      <color theme="1"/>
      <name val="Times New Roman"/>
      <family val="1"/>
    </font>
    <font>
      <i/>
      <u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3"/>
      <color rgb="FFFFFF00"/>
      <name val="Times New Roman"/>
      <family val="1"/>
    </font>
    <font>
      <b/>
      <i/>
      <sz val="13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i/>
      <u/>
      <sz val="13"/>
      <color theme="1"/>
      <name val="Times New Roman"/>
      <family val="1"/>
    </font>
    <font>
      <i/>
      <sz val="13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justify" vertical="center"/>
    </xf>
    <xf numFmtId="0" fontId="9" fillId="0" borderId="0" xfId="0" applyFont="1"/>
    <xf numFmtId="0" fontId="7" fillId="2" borderId="1" xfId="0" applyFont="1" applyFill="1" applyBorder="1" applyAlignment="1">
      <alignment vertical="center" wrapText="1"/>
    </xf>
    <xf numFmtId="0" fontId="11" fillId="0" borderId="0" xfId="0" applyFont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3" borderId="0" xfId="0" applyFill="1"/>
    <xf numFmtId="0" fontId="13" fillId="0" borderId="0" xfId="0" applyFont="1"/>
    <xf numFmtId="0" fontId="0" fillId="0" borderId="0" xfId="0" applyFill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9" fillId="4" borderId="0" xfId="0" applyFont="1" applyFill="1"/>
    <xf numFmtId="0" fontId="3" fillId="4" borderId="0" xfId="0" applyFont="1" applyFill="1"/>
    <xf numFmtId="0" fontId="0" fillId="4" borderId="0" xfId="0" applyFill="1"/>
    <xf numFmtId="0" fontId="9" fillId="4" borderId="0" xfId="0" quotePrefix="1" applyFont="1" applyFill="1"/>
    <xf numFmtId="0" fontId="0" fillId="0" borderId="0" xfId="0"/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5" fillId="0" borderId="0" xfId="0" applyFont="1"/>
    <xf numFmtId="0" fontId="2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23" fillId="0" borderId="0" xfId="0" applyFont="1"/>
    <xf numFmtId="0" fontId="26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0" fillId="0" borderId="0" xfId="0" quotePrefix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3" fillId="0" borderId="0" xfId="0" applyFont="1"/>
    <xf numFmtId="0" fontId="14" fillId="5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5" fillId="0" borderId="0" xfId="0" quotePrefix="1" applyFont="1" applyFill="1" applyBorder="1" applyAlignment="1">
      <alignment vertical="center"/>
    </xf>
    <xf numFmtId="0" fontId="36" fillId="0" borderId="0" xfId="0" quotePrefix="1" applyFont="1" applyFill="1" applyBorder="1" applyAlignment="1">
      <alignment vertical="center"/>
    </xf>
    <xf numFmtId="0" fontId="28" fillId="6" borderId="1" xfId="0" applyFont="1" applyFill="1" applyBorder="1" applyAlignment="1">
      <alignment horizontal="center" vertical="center" wrapText="1"/>
    </xf>
    <xf numFmtId="0" fontId="24" fillId="0" borderId="0" xfId="0" applyFont="1"/>
    <xf numFmtId="0" fontId="14" fillId="5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3" fillId="7" borderId="0" xfId="0" applyFont="1" applyFill="1"/>
    <xf numFmtId="0" fontId="28" fillId="0" borderId="1" xfId="0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justify" vertical="center" wrapText="1"/>
    </xf>
    <xf numFmtId="0" fontId="8" fillId="0" borderId="0" xfId="0" applyFont="1" applyFill="1"/>
    <xf numFmtId="0" fontId="7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31" fillId="0" borderId="1" xfId="0" applyFont="1" applyFill="1" applyBorder="1" applyAlignment="1">
      <alignment horizontal="left" vertical="center" wrapText="1" indent="2"/>
    </xf>
    <xf numFmtId="0" fontId="39" fillId="0" borderId="0" xfId="0" applyFont="1" applyFill="1" applyBorder="1" applyAlignment="1">
      <alignment horizontal="center"/>
    </xf>
    <xf numFmtId="0" fontId="28" fillId="0" borderId="1" xfId="0" applyFont="1" applyFill="1" applyBorder="1" applyAlignment="1">
      <alignment vertical="center"/>
    </xf>
    <xf numFmtId="0" fontId="11" fillId="0" borderId="0" xfId="0" applyFont="1" applyFill="1"/>
    <xf numFmtId="0" fontId="2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 indent="2"/>
    </xf>
    <xf numFmtId="0" fontId="28" fillId="0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vertical="center" wrapText="1"/>
    </xf>
    <xf numFmtId="0" fontId="30" fillId="0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horizontal="left" vertical="center" wrapText="1" indent="2"/>
    </xf>
    <xf numFmtId="0" fontId="21" fillId="0" borderId="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center"/>
    </xf>
    <xf numFmtId="0" fontId="42" fillId="5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34" fillId="5" borderId="1" xfId="0" quotePrefix="1" applyFont="1" applyFill="1" applyBorder="1" applyAlignment="1">
      <alignment horizontal="center"/>
    </xf>
    <xf numFmtId="0" fontId="41" fillId="0" borderId="1" xfId="0" quotePrefix="1" applyFont="1" applyFill="1" applyBorder="1" applyAlignment="1">
      <alignment horizontal="center"/>
    </xf>
    <xf numFmtId="0" fontId="20" fillId="0" borderId="0" xfId="0" applyFont="1"/>
    <xf numFmtId="0" fontId="20" fillId="0" borderId="0" xfId="0" applyFont="1" applyFill="1"/>
    <xf numFmtId="0" fontId="20" fillId="0" borderId="1" xfId="0" applyFont="1" applyBorder="1"/>
    <xf numFmtId="0" fontId="42" fillId="5" borderId="1" xfId="0" quotePrefix="1" applyFont="1" applyFill="1" applyBorder="1" applyAlignment="1">
      <alignment horizontal="center"/>
    </xf>
    <xf numFmtId="0" fontId="41" fillId="6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20" fillId="0" borderId="1" xfId="0" quotePrefix="1" applyFont="1" applyBorder="1"/>
    <xf numFmtId="0" fontId="34" fillId="5" borderId="1" xfId="0" applyFont="1" applyFill="1" applyBorder="1"/>
    <xf numFmtId="0" fontId="42" fillId="5" borderId="1" xfId="0" quotePrefix="1" applyFont="1" applyFill="1" applyBorder="1" applyAlignment="1">
      <alignment horizontal="center" vertical="center"/>
    </xf>
    <xf numFmtId="0" fontId="41" fillId="0" borderId="1" xfId="0" quotePrefix="1" applyFont="1" applyFill="1" applyBorder="1" applyAlignment="1">
      <alignment horizontal="center" vertical="center" wrapText="1"/>
    </xf>
    <xf numFmtId="0" fontId="43" fillId="0" borderId="0" xfId="0" applyFont="1"/>
    <xf numFmtId="0" fontId="44" fillId="0" borderId="0" xfId="0" applyFont="1"/>
    <xf numFmtId="0" fontId="20" fillId="0" borderId="0" xfId="0" applyFont="1" applyAlignment="1"/>
    <xf numFmtId="0" fontId="19" fillId="7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45" fillId="0" borderId="0" xfId="0" quotePrefix="1" applyFont="1" applyFill="1" applyBorder="1" applyAlignment="1">
      <alignment vertical="center"/>
    </xf>
    <xf numFmtId="0" fontId="46" fillId="0" borderId="0" xfId="0" quotePrefix="1" applyFont="1" applyFill="1" applyBorder="1" applyAlignment="1">
      <alignment vertical="center"/>
    </xf>
    <xf numFmtId="0" fontId="19" fillId="7" borderId="1" xfId="0" applyFont="1" applyFill="1" applyBorder="1" applyAlignment="1">
      <alignment horizontal="center"/>
    </xf>
    <xf numFmtId="0" fontId="34" fillId="5" borderId="1" xfId="0" quotePrefix="1" applyFont="1" applyFill="1" applyBorder="1" applyAlignment="1">
      <alignment horizontal="center" vertical="center"/>
    </xf>
    <xf numFmtId="0" fontId="41" fillId="0" borderId="1" xfId="0" quotePrefix="1" applyFont="1" applyFill="1" applyBorder="1" applyAlignment="1">
      <alignment horizontal="center" vertical="center"/>
    </xf>
    <xf numFmtId="0" fontId="40" fillId="4" borderId="0" xfId="0" applyFont="1" applyFill="1"/>
    <xf numFmtId="0" fontId="21" fillId="4" borderId="0" xfId="0" applyFont="1" applyFill="1" applyBorder="1" applyAlignment="1">
      <alignment horizontal="center" vertical="center"/>
    </xf>
    <xf numFmtId="0" fontId="20" fillId="5" borderId="1" xfId="0" quotePrefix="1" applyFont="1" applyFill="1" applyBorder="1" applyAlignment="1"/>
    <xf numFmtId="0" fontId="20" fillId="6" borderId="1" xfId="0" quotePrefix="1" applyFont="1" applyFill="1" applyBorder="1" applyAlignment="1"/>
    <xf numFmtId="0" fontId="42" fillId="5" borderId="7" xfId="0" quotePrefix="1" applyFont="1" applyFill="1" applyBorder="1" applyAlignment="1"/>
    <xf numFmtId="0" fontId="19" fillId="0" borderId="1" xfId="0" quotePrefix="1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46" fillId="0" borderId="5" xfId="0" quotePrefix="1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19" fillId="7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0" fillId="5" borderId="6" xfId="0" quotePrefix="1" applyFont="1" applyFill="1" applyBorder="1" applyAlignment="1">
      <alignment horizontal="center"/>
    </xf>
    <xf numFmtId="0" fontId="20" fillId="5" borderId="7" xfId="0" quotePrefix="1" applyFont="1" applyFill="1" applyBorder="1" applyAlignment="1">
      <alignment horizontal="center"/>
    </xf>
    <xf numFmtId="0" fontId="42" fillId="5" borderId="1" xfId="0" quotePrefix="1" applyFont="1" applyFill="1" applyBorder="1" applyAlignment="1">
      <alignment horizontal="center"/>
    </xf>
    <xf numFmtId="0" fontId="20" fillId="6" borderId="6" xfId="0" quotePrefix="1" applyFont="1" applyFill="1" applyBorder="1" applyAlignment="1">
      <alignment horizontal="center"/>
    </xf>
    <xf numFmtId="0" fontId="20" fillId="6" borderId="8" xfId="0" quotePrefix="1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38" fillId="8" borderId="0" xfId="0" quotePrefix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/>
    </xf>
    <xf numFmtId="0" fontId="41" fillId="0" borderId="1" xfId="0" quotePrefix="1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left"/>
    </xf>
    <xf numFmtId="0" fontId="31" fillId="0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11204</xdr:colOff>
      <xdr:row>116</xdr:row>
      <xdr:rowOff>11206</xdr:rowOff>
    </xdr:from>
    <xdr:to>
      <xdr:col>14</xdr:col>
      <xdr:colOff>215153</xdr:colOff>
      <xdr:row>133</xdr:row>
      <xdr:rowOff>188322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0204" y="20540382"/>
          <a:ext cx="5927914" cy="3417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269</xdr:row>
      <xdr:rowOff>15240</xdr:rowOff>
    </xdr:from>
    <xdr:to>
      <xdr:col>13</xdr:col>
      <xdr:colOff>594361</xdr:colOff>
      <xdr:row>287</xdr:row>
      <xdr:rowOff>61857</xdr:rowOff>
    </xdr:to>
    <xdr:sp macro="" textlink="">
      <xdr:nvSpPr>
        <xdr:cNvPr id="1027" name="AutoShape 3"/>
        <xdr:cNvSpPr>
          <a:spLocks noChangeAspect="1" noChangeArrowheads="1"/>
        </xdr:cNvSpPr>
      </xdr:nvSpPr>
      <xdr:spPr bwMode="auto">
        <a:xfrm>
          <a:off x="6400800" y="49590960"/>
          <a:ext cx="6065520" cy="3512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280147</xdr:colOff>
      <xdr:row>289</xdr:row>
      <xdr:rowOff>67236</xdr:rowOff>
    </xdr:from>
    <xdr:to>
      <xdr:col>14</xdr:col>
      <xdr:colOff>296658</xdr:colOff>
      <xdr:row>290</xdr:row>
      <xdr:rowOff>181362</xdr:rowOff>
    </xdr:to>
    <xdr:sp macro="" textlink="">
      <xdr:nvSpPr>
        <xdr:cNvPr id="56" name="TextBox 55"/>
        <xdr:cNvSpPr txBox="1"/>
      </xdr:nvSpPr>
      <xdr:spPr>
        <a:xfrm>
          <a:off x="15161559" y="55368265"/>
          <a:ext cx="621628" cy="304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T</a:t>
          </a:r>
          <a:r>
            <a:rPr lang="en-US" sz="1600" b="1" baseline="-25000"/>
            <a:t>g</a:t>
          </a:r>
        </a:p>
      </xdr:txBody>
    </xdr:sp>
    <xdr:clientData/>
  </xdr:twoCellAnchor>
  <xdr:twoCellAnchor>
    <xdr:from>
      <xdr:col>5</xdr:col>
      <xdr:colOff>195862</xdr:colOff>
      <xdr:row>296</xdr:row>
      <xdr:rowOff>114859</xdr:rowOff>
    </xdr:from>
    <xdr:to>
      <xdr:col>20</xdr:col>
      <xdr:colOff>481854</xdr:colOff>
      <xdr:row>321</xdr:row>
      <xdr:rowOff>61324</xdr:rowOff>
    </xdr:to>
    <xdr:grpSp>
      <xdr:nvGrpSpPr>
        <xdr:cNvPr id="89" name="Group 88"/>
        <xdr:cNvGrpSpPr/>
      </xdr:nvGrpSpPr>
      <xdr:grpSpPr>
        <a:xfrm>
          <a:off x="10765891" y="61934830"/>
          <a:ext cx="10039592" cy="4572894"/>
          <a:chOff x="10110107" y="56605714"/>
          <a:chExt cx="9471132" cy="4708965"/>
        </a:xfrm>
      </xdr:grpSpPr>
      <xdr:pic>
        <xdr:nvPicPr>
          <xdr:cNvPr id="87" name="Picture 8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110107" y="57571822"/>
            <a:ext cx="9443357" cy="3742857"/>
          </a:xfrm>
          <a:prstGeom prst="rect">
            <a:avLst/>
          </a:prstGeom>
        </xdr:spPr>
      </xdr:pic>
      <xdr:sp macro="" textlink="">
        <xdr:nvSpPr>
          <xdr:cNvPr id="102" name="TextBox 101"/>
          <xdr:cNvSpPr txBox="1"/>
        </xdr:nvSpPr>
        <xdr:spPr>
          <a:xfrm>
            <a:off x="15437315" y="56657742"/>
            <a:ext cx="4143924" cy="6623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Công suất turbine tương ứng cho nhà máy công suất 300MW</a:t>
            </a:r>
          </a:p>
        </xdr:txBody>
      </xdr:sp>
      <xdr:sp macro="" textlink="">
        <xdr:nvSpPr>
          <xdr:cNvPr id="88" name="Down Arrow 87"/>
          <xdr:cNvSpPr/>
        </xdr:nvSpPr>
        <xdr:spPr>
          <a:xfrm>
            <a:off x="14450786" y="56605714"/>
            <a:ext cx="911678" cy="843643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154641</xdr:colOff>
      <xdr:row>273</xdr:row>
      <xdr:rowOff>16249</xdr:rowOff>
    </xdr:from>
    <xdr:to>
      <xdr:col>20</xdr:col>
      <xdr:colOff>468406</xdr:colOff>
      <xdr:row>295</xdr:row>
      <xdr:rowOff>65556</xdr:rowOff>
    </xdr:to>
    <xdr:grpSp>
      <xdr:nvGrpSpPr>
        <xdr:cNvPr id="92" name="Group 91"/>
        <xdr:cNvGrpSpPr/>
      </xdr:nvGrpSpPr>
      <xdr:grpSpPr>
        <a:xfrm>
          <a:off x="10724670" y="57503706"/>
          <a:ext cx="10067365" cy="4196764"/>
          <a:chOff x="10136281" y="52501240"/>
          <a:chExt cx="9457765" cy="4240307"/>
        </a:xfrm>
      </xdr:grpSpPr>
      <xdr:grpSp>
        <xdr:nvGrpSpPr>
          <xdr:cNvPr id="86" name="Group 85"/>
          <xdr:cNvGrpSpPr/>
        </xdr:nvGrpSpPr>
        <xdr:grpSpPr>
          <a:xfrm>
            <a:off x="10136281" y="52501240"/>
            <a:ext cx="9457765" cy="4240307"/>
            <a:chOff x="10053277" y="52333872"/>
            <a:chExt cx="9498587" cy="4243029"/>
          </a:xfrm>
        </xdr:grpSpPr>
        <xdr:pic>
          <xdr:nvPicPr>
            <xdr:cNvPr id="3" name="Picture 2"/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053277" y="52333872"/>
              <a:ext cx="9498587" cy="4243029"/>
            </a:xfrm>
            <a:prstGeom prst="rect">
              <a:avLst/>
            </a:prstGeom>
          </xdr:spPr>
        </xdr:pic>
        <xdr:cxnSp macro="">
          <xdr:nvCxnSpPr>
            <xdr:cNvPr id="49" name="Straight Arrow Connector 48"/>
            <xdr:cNvCxnSpPr/>
          </xdr:nvCxnSpPr>
          <xdr:spPr>
            <a:xfrm>
              <a:off x="12726681" y="55870930"/>
              <a:ext cx="5275569" cy="0"/>
            </a:xfrm>
            <a:prstGeom prst="straightConnector1">
              <a:avLst/>
            </a:prstGeom>
            <a:ln w="28575"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/>
            <xdr:cNvCxnSpPr/>
          </xdr:nvCxnSpPr>
          <xdr:spPr>
            <a:xfrm flipV="1">
              <a:off x="15388878" y="54134018"/>
              <a:ext cx="0" cy="1725705"/>
            </a:xfrm>
            <a:prstGeom prst="straightConnector1">
              <a:avLst/>
            </a:prstGeom>
            <a:ln w="28575">
              <a:headEnd type="oval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5" name="TextBox 54"/>
            <xdr:cNvSpPr txBox="1"/>
          </xdr:nvSpPr>
          <xdr:spPr>
            <a:xfrm>
              <a:off x="15433703" y="54896019"/>
              <a:ext cx="905799" cy="4278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/>
                <a:t>MAX</a:t>
              </a:r>
              <a:r>
                <a:rPr lang="en-US" sz="1400" b="1" baseline="-25000"/>
                <a:t>g</a:t>
              </a:r>
            </a:p>
          </xdr:txBody>
        </xdr:sp>
        <xdr:sp macro="" textlink="">
          <xdr:nvSpPr>
            <xdr:cNvPr id="57" name="TextBox 56"/>
            <xdr:cNvSpPr txBox="1"/>
          </xdr:nvSpPr>
          <xdr:spPr>
            <a:xfrm>
              <a:off x="12737887" y="54817576"/>
              <a:ext cx="628831" cy="30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/>
                <a:t>T</a:t>
              </a:r>
              <a:r>
                <a:rPr lang="en-US" sz="1600" b="1" baseline="-25000"/>
                <a:t>1G</a:t>
              </a:r>
            </a:p>
          </xdr:txBody>
        </xdr:sp>
        <xdr:cxnSp macro="">
          <xdr:nvCxnSpPr>
            <xdr:cNvPr id="58" name="Straight Arrow Connector 57"/>
            <xdr:cNvCxnSpPr/>
          </xdr:nvCxnSpPr>
          <xdr:spPr>
            <a:xfrm flipH="1">
              <a:off x="12737887" y="55120135"/>
              <a:ext cx="224118" cy="739589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4" name="Straight Arrow Connector 63"/>
            <xdr:cNvCxnSpPr/>
          </xdr:nvCxnSpPr>
          <xdr:spPr>
            <a:xfrm>
              <a:off x="11169864" y="53999547"/>
              <a:ext cx="0" cy="2140324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Straight Arrow Connector 68"/>
            <xdr:cNvCxnSpPr/>
          </xdr:nvCxnSpPr>
          <xdr:spPr>
            <a:xfrm>
              <a:off x="10788864" y="54134019"/>
              <a:ext cx="1426348" cy="0"/>
            </a:xfrm>
            <a:prstGeom prst="straightConnector1">
              <a:avLst/>
            </a:prstGeom>
            <a:ln w="3175"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Straight Arrow Connector 74"/>
            <xdr:cNvCxnSpPr/>
          </xdr:nvCxnSpPr>
          <xdr:spPr>
            <a:xfrm flipH="1">
              <a:off x="11633584" y="54145224"/>
              <a:ext cx="1" cy="1725705"/>
            </a:xfrm>
            <a:prstGeom prst="straightConnector1">
              <a:avLst/>
            </a:prstGeom>
            <a:ln w="28575">
              <a:headEnd type="oval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/>
            <xdr:cNvSpPr txBox="1"/>
          </xdr:nvSpPr>
          <xdr:spPr>
            <a:xfrm>
              <a:off x="11602890" y="54503812"/>
              <a:ext cx="905799" cy="4278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/>
                <a:t>MAX</a:t>
              </a:r>
              <a:endParaRPr lang="en-US" sz="1400" b="1" baseline="-25000"/>
            </a:p>
          </xdr:txBody>
        </xdr:sp>
        <xdr:cxnSp macro="">
          <xdr:nvCxnSpPr>
            <xdr:cNvPr id="80" name="Straight Arrow Connector 79"/>
            <xdr:cNvCxnSpPr/>
          </xdr:nvCxnSpPr>
          <xdr:spPr>
            <a:xfrm>
              <a:off x="10800070" y="55949372"/>
              <a:ext cx="1426348" cy="0"/>
            </a:xfrm>
            <a:prstGeom prst="straightConnector1">
              <a:avLst/>
            </a:prstGeom>
            <a:ln w="3175"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/>
            <xdr:cNvSpPr txBox="1"/>
          </xdr:nvSpPr>
          <xdr:spPr>
            <a:xfrm>
              <a:off x="10490306" y="54593458"/>
              <a:ext cx="628832" cy="30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/>
                <a:t>T</a:t>
              </a:r>
              <a:r>
                <a:rPr lang="en-US" sz="1600" b="1" baseline="-25000"/>
                <a:t>1R</a:t>
              </a:r>
            </a:p>
          </xdr:txBody>
        </xdr:sp>
        <xdr:cxnSp macro="">
          <xdr:nvCxnSpPr>
            <xdr:cNvPr id="82" name="Straight Arrow Connector 81"/>
            <xdr:cNvCxnSpPr/>
          </xdr:nvCxnSpPr>
          <xdr:spPr>
            <a:xfrm>
              <a:off x="10721629" y="54896017"/>
              <a:ext cx="437029" cy="1042148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4" name="TextBox 83"/>
            <xdr:cNvSpPr txBox="1"/>
          </xdr:nvSpPr>
          <xdr:spPr>
            <a:xfrm>
              <a:off x="12080742" y="55153753"/>
              <a:ext cx="628831" cy="30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/>
                <a:t>T</a:t>
              </a:r>
              <a:r>
                <a:rPr lang="en-US" sz="1600" b="1" baseline="-25000"/>
                <a:t>2R</a:t>
              </a:r>
            </a:p>
          </xdr:txBody>
        </xdr:sp>
        <xdr:cxnSp macro="">
          <xdr:nvCxnSpPr>
            <xdr:cNvPr id="85" name="Straight Arrow Connector 84"/>
            <xdr:cNvCxnSpPr/>
          </xdr:nvCxnSpPr>
          <xdr:spPr>
            <a:xfrm flipH="1">
              <a:off x="11614583" y="55422694"/>
              <a:ext cx="944009" cy="547626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Left Brace 76"/>
            <xdr:cNvSpPr/>
          </xdr:nvSpPr>
          <xdr:spPr>
            <a:xfrm rot="5400000">
              <a:off x="11334750" y="53584929"/>
              <a:ext cx="122461" cy="449037"/>
            </a:xfrm>
            <a:prstGeom prst="leftBrace">
              <a:avLst>
                <a:gd name="adj1" fmla="val 52451"/>
                <a:gd name="adj2" fmla="val 50000"/>
              </a:avLst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3" name="Left Brace 92"/>
            <xdr:cNvSpPr/>
          </xdr:nvSpPr>
          <xdr:spPr>
            <a:xfrm rot="5400000">
              <a:off x="15219590" y="51183268"/>
              <a:ext cx="258532" cy="5225145"/>
            </a:xfrm>
            <a:prstGeom prst="leftBrace">
              <a:avLst>
                <a:gd name="adj1" fmla="val 52451"/>
                <a:gd name="adj2" fmla="val 50000"/>
              </a:avLst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4" name="TextBox 93"/>
            <xdr:cNvSpPr txBox="1"/>
          </xdr:nvSpPr>
          <xdr:spPr>
            <a:xfrm>
              <a:off x="10990568" y="53401633"/>
              <a:ext cx="905799" cy="4278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 b="1"/>
                <a:t>RAMP</a:t>
              </a:r>
              <a:endParaRPr lang="en-US" sz="1800" b="1" baseline="-25000"/>
            </a:p>
          </xdr:txBody>
        </xdr:sp>
        <xdr:sp macro="" textlink="">
          <xdr:nvSpPr>
            <xdr:cNvPr id="95" name="TextBox 94"/>
            <xdr:cNvSpPr txBox="1"/>
          </xdr:nvSpPr>
          <xdr:spPr>
            <a:xfrm>
              <a:off x="15031890" y="53292777"/>
              <a:ext cx="905799" cy="4278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/>
                <a:t>GUST</a:t>
              </a:r>
              <a:endParaRPr lang="en-US" sz="1800" b="1" baseline="-25000"/>
            </a:p>
          </xdr:txBody>
        </xdr:sp>
        <xdr:cxnSp macro="">
          <xdr:nvCxnSpPr>
            <xdr:cNvPr id="96" name="Straight Arrow Connector 95"/>
            <xdr:cNvCxnSpPr/>
          </xdr:nvCxnSpPr>
          <xdr:spPr>
            <a:xfrm>
              <a:off x="17959829" y="53993143"/>
              <a:ext cx="0" cy="1997049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Straight Arrow Connector 96"/>
            <xdr:cNvCxnSpPr/>
          </xdr:nvCxnSpPr>
          <xdr:spPr>
            <a:xfrm>
              <a:off x="12707472" y="54061179"/>
              <a:ext cx="0" cy="1929013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/>
            <xdr:cNvSpPr txBox="1"/>
          </xdr:nvSpPr>
          <xdr:spPr>
            <a:xfrm>
              <a:off x="10845246" y="52866287"/>
              <a:ext cx="1001201" cy="30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/>
                <a:t>SPDW1</a:t>
              </a:r>
              <a:endParaRPr lang="en-US" sz="1600" b="1" baseline="-25000"/>
            </a:p>
          </xdr:txBody>
        </xdr:sp>
        <xdr:cxnSp macro="">
          <xdr:nvCxnSpPr>
            <xdr:cNvPr id="109" name="Straight Arrow Connector 108"/>
            <xdr:cNvCxnSpPr/>
          </xdr:nvCxnSpPr>
          <xdr:spPr>
            <a:xfrm flipH="1">
              <a:off x="10486267" y="53135227"/>
              <a:ext cx="836829" cy="965265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6" name="Straight Arrow Connector 65"/>
          <xdr:cNvCxnSpPr/>
        </xdr:nvCxnSpPr>
        <xdr:spPr>
          <a:xfrm>
            <a:off x="11702863" y="54173718"/>
            <a:ext cx="0" cy="2140324"/>
          </a:xfrm>
          <a:prstGeom prst="straightConnector1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269</xdr:row>
      <xdr:rowOff>15240</xdr:rowOff>
    </xdr:from>
    <xdr:to>
      <xdr:col>13</xdr:col>
      <xdr:colOff>594362</xdr:colOff>
      <xdr:row>287</xdr:row>
      <xdr:rowOff>61857</xdr:rowOff>
    </xdr:to>
    <xdr:sp macro="" textlink="">
      <xdr:nvSpPr>
        <xdr:cNvPr id="2" name="AutoShape 3"/>
        <xdr:cNvSpPr>
          <a:spLocks noChangeAspect="1" noChangeArrowheads="1"/>
        </xdr:cNvSpPr>
      </xdr:nvSpPr>
      <xdr:spPr bwMode="auto">
        <a:xfrm>
          <a:off x="8054340" y="55307865"/>
          <a:ext cx="6017896" cy="3599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280147</xdr:colOff>
      <xdr:row>289</xdr:row>
      <xdr:rowOff>67236</xdr:rowOff>
    </xdr:from>
    <xdr:to>
      <xdr:col>14</xdr:col>
      <xdr:colOff>296658</xdr:colOff>
      <xdr:row>290</xdr:row>
      <xdr:rowOff>181362</xdr:rowOff>
    </xdr:to>
    <xdr:sp macro="" textlink="">
      <xdr:nvSpPr>
        <xdr:cNvPr id="3" name="TextBox 2"/>
        <xdr:cNvSpPr txBox="1"/>
      </xdr:nvSpPr>
      <xdr:spPr>
        <a:xfrm>
          <a:off x="13758022" y="59293686"/>
          <a:ext cx="626111" cy="304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T</a:t>
          </a:r>
          <a:r>
            <a:rPr lang="en-US" sz="1600" b="1" baseline="-25000"/>
            <a:t>g</a:t>
          </a:r>
        </a:p>
      </xdr:txBody>
    </xdr:sp>
    <xdr:clientData/>
  </xdr:twoCellAnchor>
  <xdr:twoCellAnchor>
    <xdr:from>
      <xdr:col>5</xdr:col>
      <xdr:colOff>195862</xdr:colOff>
      <xdr:row>296</xdr:row>
      <xdr:rowOff>114859</xdr:rowOff>
    </xdr:from>
    <xdr:to>
      <xdr:col>20</xdr:col>
      <xdr:colOff>481854</xdr:colOff>
      <xdr:row>321</xdr:row>
      <xdr:rowOff>61324</xdr:rowOff>
    </xdr:to>
    <xdr:grpSp>
      <xdr:nvGrpSpPr>
        <xdr:cNvPr id="4" name="Group 3"/>
        <xdr:cNvGrpSpPr/>
      </xdr:nvGrpSpPr>
      <xdr:grpSpPr>
        <a:xfrm>
          <a:off x="10232491" y="59648830"/>
          <a:ext cx="10181106" cy="4572894"/>
          <a:chOff x="10110107" y="56605714"/>
          <a:chExt cx="9471132" cy="4708965"/>
        </a:xfrm>
      </xdr:grpSpPr>
      <xdr:pic>
        <xdr:nvPicPr>
          <xdr:cNvPr id="5" name="Picture 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110107" y="57571822"/>
            <a:ext cx="9443357" cy="3742857"/>
          </a:xfrm>
          <a:prstGeom prst="rect">
            <a:avLst/>
          </a:prstGeom>
        </xdr:spPr>
      </xdr:pic>
      <xdr:sp macro="" textlink="">
        <xdr:nvSpPr>
          <xdr:cNvPr id="6" name="TextBox 5"/>
          <xdr:cNvSpPr txBox="1"/>
        </xdr:nvSpPr>
        <xdr:spPr>
          <a:xfrm>
            <a:off x="15437315" y="56657742"/>
            <a:ext cx="4143924" cy="6623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Công suất turbine tương ứng cho nhà máy công suất 300MW</a:t>
            </a:r>
          </a:p>
        </xdr:txBody>
      </xdr:sp>
      <xdr:sp macro="" textlink="">
        <xdr:nvSpPr>
          <xdr:cNvPr id="7" name="Down Arrow 6"/>
          <xdr:cNvSpPr/>
        </xdr:nvSpPr>
        <xdr:spPr>
          <a:xfrm>
            <a:off x="14450786" y="56605714"/>
            <a:ext cx="911678" cy="843643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154641</xdr:colOff>
      <xdr:row>273</xdr:row>
      <xdr:rowOff>16249</xdr:rowOff>
    </xdr:from>
    <xdr:to>
      <xdr:col>20</xdr:col>
      <xdr:colOff>468406</xdr:colOff>
      <xdr:row>295</xdr:row>
      <xdr:rowOff>65556</xdr:rowOff>
    </xdr:to>
    <xdr:grpSp>
      <xdr:nvGrpSpPr>
        <xdr:cNvPr id="8" name="Group 7"/>
        <xdr:cNvGrpSpPr/>
      </xdr:nvGrpSpPr>
      <xdr:grpSpPr>
        <a:xfrm>
          <a:off x="10191270" y="55217706"/>
          <a:ext cx="10208879" cy="4196764"/>
          <a:chOff x="10136281" y="52501240"/>
          <a:chExt cx="9457765" cy="4240307"/>
        </a:xfrm>
      </xdr:grpSpPr>
      <xdr:grpSp>
        <xdr:nvGrpSpPr>
          <xdr:cNvPr id="9" name="Group 8"/>
          <xdr:cNvGrpSpPr/>
        </xdr:nvGrpSpPr>
        <xdr:grpSpPr>
          <a:xfrm>
            <a:off x="10136281" y="52501240"/>
            <a:ext cx="9457765" cy="4240307"/>
            <a:chOff x="10053277" y="52333872"/>
            <a:chExt cx="9498587" cy="4243029"/>
          </a:xfrm>
        </xdr:grpSpPr>
        <xdr:pic>
          <xdr:nvPicPr>
            <xdr:cNvPr id="11" name="Picture 10"/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053277" y="52333872"/>
              <a:ext cx="9498587" cy="4243029"/>
            </a:xfrm>
            <a:prstGeom prst="rect">
              <a:avLst/>
            </a:prstGeom>
          </xdr:spPr>
        </xdr:pic>
        <xdr:cxnSp macro="">
          <xdr:nvCxnSpPr>
            <xdr:cNvPr id="12" name="Straight Arrow Connector 11"/>
            <xdr:cNvCxnSpPr/>
          </xdr:nvCxnSpPr>
          <xdr:spPr>
            <a:xfrm>
              <a:off x="12726681" y="55870930"/>
              <a:ext cx="5275569" cy="0"/>
            </a:xfrm>
            <a:prstGeom prst="straightConnector1">
              <a:avLst/>
            </a:prstGeom>
            <a:ln w="28575"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/>
            <xdr:cNvCxnSpPr/>
          </xdr:nvCxnSpPr>
          <xdr:spPr>
            <a:xfrm flipV="1">
              <a:off x="15388878" y="54134018"/>
              <a:ext cx="0" cy="1725705"/>
            </a:xfrm>
            <a:prstGeom prst="straightConnector1">
              <a:avLst/>
            </a:prstGeom>
            <a:ln w="28575">
              <a:headEnd type="oval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3"/>
            <xdr:cNvSpPr txBox="1"/>
          </xdr:nvSpPr>
          <xdr:spPr>
            <a:xfrm>
              <a:off x="15433703" y="54896019"/>
              <a:ext cx="905799" cy="4278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/>
                <a:t>MAX</a:t>
              </a:r>
              <a:r>
                <a:rPr lang="en-US" sz="1400" b="1" baseline="-25000"/>
                <a:t>g</a:t>
              </a:r>
            </a:p>
          </xdr:txBody>
        </xdr:sp>
        <xdr:sp macro="" textlink="">
          <xdr:nvSpPr>
            <xdr:cNvPr id="15" name="TextBox 14"/>
            <xdr:cNvSpPr txBox="1"/>
          </xdr:nvSpPr>
          <xdr:spPr>
            <a:xfrm>
              <a:off x="12737887" y="54817576"/>
              <a:ext cx="628831" cy="30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/>
                <a:t>T</a:t>
              </a:r>
              <a:r>
                <a:rPr lang="en-US" sz="1600" b="1" baseline="-25000"/>
                <a:t>1G</a:t>
              </a:r>
            </a:p>
          </xdr:txBody>
        </xdr:sp>
        <xdr:cxnSp macro="">
          <xdr:nvCxnSpPr>
            <xdr:cNvPr id="16" name="Straight Arrow Connector 15"/>
            <xdr:cNvCxnSpPr/>
          </xdr:nvCxnSpPr>
          <xdr:spPr>
            <a:xfrm flipH="1">
              <a:off x="12737887" y="55120135"/>
              <a:ext cx="224118" cy="739589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Arrow Connector 16"/>
            <xdr:cNvCxnSpPr/>
          </xdr:nvCxnSpPr>
          <xdr:spPr>
            <a:xfrm>
              <a:off x="11169864" y="53999547"/>
              <a:ext cx="0" cy="2140324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Arrow Connector 17"/>
            <xdr:cNvCxnSpPr/>
          </xdr:nvCxnSpPr>
          <xdr:spPr>
            <a:xfrm>
              <a:off x="10788864" y="54134019"/>
              <a:ext cx="1426348" cy="0"/>
            </a:xfrm>
            <a:prstGeom prst="straightConnector1">
              <a:avLst/>
            </a:prstGeom>
            <a:ln w="3175"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/>
            <xdr:cNvCxnSpPr/>
          </xdr:nvCxnSpPr>
          <xdr:spPr>
            <a:xfrm flipH="1">
              <a:off x="11633584" y="54145224"/>
              <a:ext cx="1" cy="1725705"/>
            </a:xfrm>
            <a:prstGeom prst="straightConnector1">
              <a:avLst/>
            </a:prstGeom>
            <a:ln w="28575">
              <a:headEnd type="oval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/>
            <xdr:cNvSpPr txBox="1"/>
          </xdr:nvSpPr>
          <xdr:spPr>
            <a:xfrm>
              <a:off x="11602890" y="54503812"/>
              <a:ext cx="905799" cy="4278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/>
                <a:t>MAX</a:t>
              </a:r>
              <a:endParaRPr lang="en-US" sz="1400" b="1" baseline="-25000"/>
            </a:p>
          </xdr:txBody>
        </xdr:sp>
        <xdr:cxnSp macro="">
          <xdr:nvCxnSpPr>
            <xdr:cNvPr id="21" name="Straight Arrow Connector 20"/>
            <xdr:cNvCxnSpPr/>
          </xdr:nvCxnSpPr>
          <xdr:spPr>
            <a:xfrm>
              <a:off x="10800070" y="55949372"/>
              <a:ext cx="1426348" cy="0"/>
            </a:xfrm>
            <a:prstGeom prst="straightConnector1">
              <a:avLst/>
            </a:prstGeom>
            <a:ln w="3175"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" name="TextBox 21"/>
            <xdr:cNvSpPr txBox="1"/>
          </xdr:nvSpPr>
          <xdr:spPr>
            <a:xfrm>
              <a:off x="10490306" y="54593458"/>
              <a:ext cx="628832" cy="30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/>
                <a:t>T</a:t>
              </a:r>
              <a:r>
                <a:rPr lang="en-US" sz="1600" b="1" baseline="-25000"/>
                <a:t>1R</a:t>
              </a:r>
            </a:p>
          </xdr:txBody>
        </xdr:sp>
        <xdr:cxnSp macro="">
          <xdr:nvCxnSpPr>
            <xdr:cNvPr id="23" name="Straight Arrow Connector 22"/>
            <xdr:cNvCxnSpPr/>
          </xdr:nvCxnSpPr>
          <xdr:spPr>
            <a:xfrm>
              <a:off x="10721629" y="54896017"/>
              <a:ext cx="437029" cy="1042148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" name="TextBox 23"/>
            <xdr:cNvSpPr txBox="1"/>
          </xdr:nvSpPr>
          <xdr:spPr>
            <a:xfrm>
              <a:off x="12080742" y="55153753"/>
              <a:ext cx="628831" cy="30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/>
                <a:t>T</a:t>
              </a:r>
              <a:r>
                <a:rPr lang="en-US" sz="1600" b="1" baseline="-25000"/>
                <a:t>2R</a:t>
              </a:r>
            </a:p>
          </xdr:txBody>
        </xdr:sp>
        <xdr:cxnSp macro="">
          <xdr:nvCxnSpPr>
            <xdr:cNvPr id="25" name="Straight Arrow Connector 24"/>
            <xdr:cNvCxnSpPr/>
          </xdr:nvCxnSpPr>
          <xdr:spPr>
            <a:xfrm flipH="1">
              <a:off x="11614583" y="55422694"/>
              <a:ext cx="944009" cy="547626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" name="Left Brace 25"/>
            <xdr:cNvSpPr/>
          </xdr:nvSpPr>
          <xdr:spPr>
            <a:xfrm rot="5400000">
              <a:off x="11334750" y="53584929"/>
              <a:ext cx="122461" cy="449037"/>
            </a:xfrm>
            <a:prstGeom prst="leftBrace">
              <a:avLst>
                <a:gd name="adj1" fmla="val 52451"/>
                <a:gd name="adj2" fmla="val 50000"/>
              </a:avLst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Left Brace 26"/>
            <xdr:cNvSpPr/>
          </xdr:nvSpPr>
          <xdr:spPr>
            <a:xfrm rot="5400000">
              <a:off x="15219590" y="51183268"/>
              <a:ext cx="258532" cy="5225145"/>
            </a:xfrm>
            <a:prstGeom prst="leftBrace">
              <a:avLst>
                <a:gd name="adj1" fmla="val 52451"/>
                <a:gd name="adj2" fmla="val 50000"/>
              </a:avLst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" name="TextBox 27"/>
            <xdr:cNvSpPr txBox="1"/>
          </xdr:nvSpPr>
          <xdr:spPr>
            <a:xfrm>
              <a:off x="10990568" y="53401633"/>
              <a:ext cx="905799" cy="4278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 b="1"/>
                <a:t>RAMP</a:t>
              </a:r>
              <a:endParaRPr lang="en-US" sz="1800" b="1" baseline="-25000"/>
            </a:p>
          </xdr:txBody>
        </xdr:sp>
        <xdr:sp macro="" textlink="">
          <xdr:nvSpPr>
            <xdr:cNvPr id="29" name="TextBox 28"/>
            <xdr:cNvSpPr txBox="1"/>
          </xdr:nvSpPr>
          <xdr:spPr>
            <a:xfrm>
              <a:off x="15031890" y="53292777"/>
              <a:ext cx="905799" cy="4278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/>
                <a:t>GUST</a:t>
              </a:r>
              <a:endParaRPr lang="en-US" sz="1800" b="1" baseline="-25000"/>
            </a:p>
          </xdr:txBody>
        </xdr:sp>
        <xdr:cxnSp macro="">
          <xdr:nvCxnSpPr>
            <xdr:cNvPr id="30" name="Straight Arrow Connector 29"/>
            <xdr:cNvCxnSpPr/>
          </xdr:nvCxnSpPr>
          <xdr:spPr>
            <a:xfrm>
              <a:off x="17959829" y="53993143"/>
              <a:ext cx="0" cy="1997049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Arrow Connector 30"/>
            <xdr:cNvCxnSpPr/>
          </xdr:nvCxnSpPr>
          <xdr:spPr>
            <a:xfrm>
              <a:off x="12707472" y="54061179"/>
              <a:ext cx="0" cy="1929013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TextBox 31"/>
            <xdr:cNvSpPr txBox="1"/>
          </xdr:nvSpPr>
          <xdr:spPr>
            <a:xfrm>
              <a:off x="10845246" y="52866287"/>
              <a:ext cx="1001201" cy="30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/>
                <a:t>SPDW1</a:t>
              </a:r>
              <a:endParaRPr lang="en-US" sz="1600" b="1" baseline="-25000"/>
            </a:p>
          </xdr:txBody>
        </xdr:sp>
        <xdr:cxnSp macro="">
          <xdr:nvCxnSpPr>
            <xdr:cNvPr id="33" name="Straight Arrow Connector 32"/>
            <xdr:cNvCxnSpPr/>
          </xdr:nvCxnSpPr>
          <xdr:spPr>
            <a:xfrm flipH="1">
              <a:off x="10486267" y="53135227"/>
              <a:ext cx="836829" cy="965265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0" name="Straight Arrow Connector 9"/>
          <xdr:cNvCxnSpPr/>
        </xdr:nvCxnSpPr>
        <xdr:spPr>
          <a:xfrm>
            <a:off x="11702863" y="54173718"/>
            <a:ext cx="0" cy="2140324"/>
          </a:xfrm>
          <a:prstGeom prst="straightConnector1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4" workbookViewId="0">
      <selection activeCell="C15" sqref="C15"/>
    </sheetView>
  </sheetViews>
  <sheetFormatPr defaultColWidth="8.88671875" defaultRowHeight="15.6" x14ac:dyDescent="0.3"/>
  <cols>
    <col min="1" max="1" width="10.6640625" style="57" bestFit="1" customWidth="1"/>
    <col min="2" max="2" width="9.33203125" style="57" customWidth="1"/>
    <col min="3" max="3" width="43.88671875" style="57" customWidth="1"/>
    <col min="4" max="4" width="28.5546875" style="57" customWidth="1"/>
    <col min="5" max="5" width="24.5546875" style="57" customWidth="1"/>
    <col min="6" max="6" width="26.5546875" style="57" customWidth="1"/>
    <col min="7" max="16384" width="8.88671875" style="57"/>
  </cols>
  <sheetData>
    <row r="1" spans="1:7" s="91" customFormat="1" ht="16.8" x14ac:dyDescent="0.3">
      <c r="A1" s="101" t="s">
        <v>501</v>
      </c>
      <c r="B1" s="102" t="s">
        <v>490</v>
      </c>
    </row>
    <row r="2" spans="1:7" s="91" customFormat="1" ht="16.8" x14ac:dyDescent="0.3"/>
    <row r="3" spans="1:7" s="91" customFormat="1" ht="16.8" x14ac:dyDescent="0.3">
      <c r="C3" s="126"/>
      <c r="D3" s="125" t="s">
        <v>491</v>
      </c>
      <c r="E3" s="125"/>
      <c r="F3" s="125"/>
      <c r="G3" s="103"/>
    </row>
    <row r="4" spans="1:7" s="91" customFormat="1" ht="16.8" x14ac:dyDescent="0.3">
      <c r="C4" s="126"/>
      <c r="D4" s="104" t="s">
        <v>492</v>
      </c>
      <c r="E4" s="104" t="s">
        <v>493</v>
      </c>
      <c r="F4" s="104" t="s">
        <v>494</v>
      </c>
    </row>
    <row r="5" spans="1:7" s="91" customFormat="1" ht="16.8" x14ac:dyDescent="0.3">
      <c r="C5" s="105" t="s">
        <v>430</v>
      </c>
      <c r="D5" s="106">
        <v>9999</v>
      </c>
      <c r="E5" s="106">
        <v>9999</v>
      </c>
      <c r="F5" s="106">
        <v>0.8</v>
      </c>
    </row>
    <row r="6" spans="1:7" s="91" customFormat="1" ht="16.8" x14ac:dyDescent="0.3">
      <c r="C6" s="105" t="s">
        <v>431</v>
      </c>
      <c r="D6" s="106">
        <v>9999</v>
      </c>
      <c r="E6" s="106">
        <v>9999</v>
      </c>
      <c r="F6" s="106">
        <v>0.8</v>
      </c>
    </row>
    <row r="7" spans="1:7" s="91" customFormat="1" ht="16.8" x14ac:dyDescent="0.3">
      <c r="C7" s="105" t="s">
        <v>432</v>
      </c>
      <c r="D7" s="106">
        <v>9999</v>
      </c>
      <c r="E7" s="106">
        <v>9999</v>
      </c>
      <c r="F7" s="106">
        <v>0.8</v>
      </c>
    </row>
    <row r="8" spans="1:7" s="91" customFormat="1" ht="16.8" x14ac:dyDescent="0.3">
      <c r="C8" s="105" t="s">
        <v>433</v>
      </c>
      <c r="D8" s="106">
        <v>9999</v>
      </c>
      <c r="E8" s="106">
        <v>9999</v>
      </c>
      <c r="F8" s="106">
        <v>0.8</v>
      </c>
    </row>
    <row r="9" spans="1:7" s="91" customFormat="1" ht="16.8" x14ac:dyDescent="0.3">
      <c r="C9" s="105" t="s">
        <v>434</v>
      </c>
      <c r="D9" s="106">
        <v>9999</v>
      </c>
      <c r="E9" s="106">
        <v>9999</v>
      </c>
      <c r="F9" s="106">
        <v>0.8</v>
      </c>
    </row>
    <row r="10" spans="1:7" s="91" customFormat="1" ht="16.8" x14ac:dyDescent="0.3">
      <c r="C10" s="105" t="s">
        <v>435</v>
      </c>
      <c r="D10" s="106">
        <v>9999</v>
      </c>
      <c r="E10" s="106">
        <v>9999</v>
      </c>
      <c r="F10" s="106">
        <v>0.8</v>
      </c>
    </row>
    <row r="11" spans="1:7" s="91" customFormat="1" ht="33.6" x14ac:dyDescent="0.3">
      <c r="C11" s="105" t="s">
        <v>436</v>
      </c>
      <c r="D11" s="107" t="s">
        <v>437</v>
      </c>
      <c r="E11" s="107" t="s">
        <v>437</v>
      </c>
      <c r="F11" s="107" t="s">
        <v>437</v>
      </c>
    </row>
    <row r="12" spans="1:7" s="91" customFormat="1" ht="16.8" x14ac:dyDescent="0.3"/>
    <row r="13" spans="1:7" s="91" customFormat="1" ht="16.8" x14ac:dyDescent="0.3">
      <c r="B13" s="108"/>
      <c r="C13" s="109" t="s">
        <v>495</v>
      </c>
    </row>
    <row r="14" spans="1:7" s="91" customFormat="1" ht="16.8" x14ac:dyDescent="0.3">
      <c r="C14" s="109" t="s">
        <v>550</v>
      </c>
    </row>
    <row r="15" spans="1:7" s="91" customFormat="1" ht="16.8" x14ac:dyDescent="0.3">
      <c r="C15" s="109" t="s">
        <v>551</v>
      </c>
    </row>
    <row r="16" spans="1:7" s="91" customFormat="1" ht="16.8" x14ac:dyDescent="0.3"/>
    <row r="17" spans="1:5" s="91" customFormat="1" ht="16.8" x14ac:dyDescent="0.3">
      <c r="A17" s="101" t="s">
        <v>502</v>
      </c>
      <c r="B17" s="102" t="s">
        <v>496</v>
      </c>
    </row>
    <row r="18" spans="1:5" s="91" customFormat="1" ht="16.8" x14ac:dyDescent="0.3">
      <c r="A18" s="101"/>
    </row>
    <row r="19" spans="1:5" s="91" customFormat="1" ht="16.8" x14ac:dyDescent="0.3">
      <c r="C19" s="110" t="s">
        <v>497</v>
      </c>
      <c r="D19" s="128" t="s">
        <v>498</v>
      </c>
      <c r="E19" s="128"/>
    </row>
    <row r="20" spans="1:5" s="91" customFormat="1" ht="31.8" customHeight="1" x14ac:dyDescent="0.3">
      <c r="C20" s="118" t="s">
        <v>499</v>
      </c>
      <c r="D20" s="127" t="s">
        <v>549</v>
      </c>
      <c r="E20" s="127"/>
    </row>
    <row r="21" spans="1:5" s="91" customFormat="1" ht="58.8" customHeight="1" x14ac:dyDescent="0.3">
      <c r="C21" s="118" t="s">
        <v>535</v>
      </c>
      <c r="D21" s="124" t="s">
        <v>537</v>
      </c>
      <c r="E21" s="124"/>
    </row>
    <row r="22" spans="1:5" s="91" customFormat="1" ht="16.8" x14ac:dyDescent="0.3">
      <c r="C22" s="118" t="s">
        <v>536</v>
      </c>
      <c r="D22" s="124" t="s">
        <v>548</v>
      </c>
      <c r="E22" s="124"/>
    </row>
    <row r="23" spans="1:5" s="91" customFormat="1" ht="16.8" x14ac:dyDescent="0.3">
      <c r="B23" s="108"/>
      <c r="C23" s="123" t="s">
        <v>500</v>
      </c>
      <c r="D23" s="123"/>
    </row>
    <row r="24" spans="1:5" x14ac:dyDescent="0.3">
      <c r="B24" s="55"/>
      <c r="C24" s="54"/>
    </row>
  </sheetData>
  <mergeCells count="7">
    <mergeCell ref="C23:D23"/>
    <mergeCell ref="D22:E22"/>
    <mergeCell ref="D3:F3"/>
    <mergeCell ref="C3:C4"/>
    <mergeCell ref="D21:E21"/>
    <mergeCell ref="D20:E20"/>
    <mergeCell ref="D19:E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9"/>
  <sheetViews>
    <sheetView tabSelected="1" zoomScale="70" zoomScaleNormal="70" workbookViewId="0">
      <selection activeCell="A2" sqref="A2"/>
    </sheetView>
  </sheetViews>
  <sheetFormatPr defaultColWidth="8.88671875" defaultRowHeight="13.8" x14ac:dyDescent="0.25"/>
  <cols>
    <col min="1" max="1" width="22" style="2" customWidth="1"/>
    <col min="2" max="2" width="11.6640625" style="2" bestFit="1" customWidth="1"/>
    <col min="3" max="3" width="16.6640625" style="2" bestFit="1" customWidth="1"/>
    <col min="4" max="4" width="75.88671875" style="2" customWidth="1"/>
    <col min="5" max="5" width="28.44140625" style="2" customWidth="1"/>
    <col min="6" max="6" width="11.33203125" style="2" customWidth="1"/>
    <col min="7" max="7" width="8.88671875" style="2"/>
    <col min="8" max="8" width="12.109375" style="2" bestFit="1" customWidth="1"/>
    <col min="9" max="16384" width="8.88671875" style="2"/>
  </cols>
  <sheetData>
    <row r="1" spans="1:43" ht="16.8" x14ac:dyDescent="0.3">
      <c r="A1" s="29" t="s">
        <v>405</v>
      </c>
    </row>
    <row r="2" spans="1:43" s="34" customFormat="1" ht="16.8" x14ac:dyDescent="0.3">
      <c r="A2" s="111" t="s">
        <v>542</v>
      </c>
      <c r="B2" s="132" t="s">
        <v>543</v>
      </c>
      <c r="C2" s="133"/>
      <c r="D2" s="115" t="s">
        <v>546</v>
      </c>
    </row>
    <row r="3" spans="1:43" s="34" customFormat="1" ht="16.8" x14ac:dyDescent="0.3">
      <c r="A3" s="99" t="s">
        <v>542</v>
      </c>
      <c r="B3" s="134" t="s">
        <v>544</v>
      </c>
      <c r="C3" s="134"/>
      <c r="D3" s="117" t="s">
        <v>547</v>
      </c>
    </row>
    <row r="4" spans="1:43" s="34" customFormat="1" ht="16.8" x14ac:dyDescent="0.3">
      <c r="A4" s="83" t="s">
        <v>411</v>
      </c>
      <c r="B4" s="135" t="s">
        <v>541</v>
      </c>
      <c r="C4" s="136"/>
      <c r="D4" s="116" t="s">
        <v>545</v>
      </c>
    </row>
    <row r="5" spans="1:43" s="34" customFormat="1" ht="16.8" x14ac:dyDescent="0.3">
      <c r="A5" s="47"/>
      <c r="B5" s="48"/>
      <c r="C5" s="48"/>
      <c r="D5" s="48"/>
      <c r="E5" s="22"/>
    </row>
    <row r="6" spans="1:43" s="22" customFormat="1" ht="16.8" x14ac:dyDescent="0.3">
      <c r="A6" s="140" t="s">
        <v>515</v>
      </c>
      <c r="B6" s="140"/>
      <c r="C6" s="140"/>
      <c r="D6" s="140"/>
    </row>
    <row r="7" spans="1:43" s="22" customFormat="1" ht="16.8" x14ac:dyDescent="0.3">
      <c r="A7" s="138" t="s">
        <v>519</v>
      </c>
      <c r="B7" s="138"/>
      <c r="C7" s="84" t="s">
        <v>504</v>
      </c>
      <c r="D7" s="84" t="s">
        <v>520</v>
      </c>
    </row>
    <row r="8" spans="1:43" s="22" customFormat="1" ht="16.8" x14ac:dyDescent="0.3">
      <c r="A8" s="137" t="s">
        <v>505</v>
      </c>
      <c r="B8" s="137"/>
      <c r="C8" s="96" t="s">
        <v>533</v>
      </c>
      <c r="D8" s="84"/>
    </row>
    <row r="9" spans="1:43" s="22" customFormat="1" ht="16.8" x14ac:dyDescent="0.3">
      <c r="A9" s="141" t="s">
        <v>410</v>
      </c>
      <c r="B9" s="141"/>
      <c r="C9" s="87">
        <v>60</v>
      </c>
      <c r="D9" s="88" t="s">
        <v>516</v>
      </c>
    </row>
    <row r="10" spans="1:43" s="34" customFormat="1" ht="16.8" x14ac:dyDescent="0.3">
      <c r="A10" s="141" t="s">
        <v>538</v>
      </c>
      <c r="B10" s="141"/>
      <c r="C10" s="111">
        <v>991087</v>
      </c>
      <c r="D10" s="112" t="s">
        <v>518</v>
      </c>
      <c r="E10" s="22"/>
    </row>
    <row r="11" spans="1:43" s="34" customFormat="1" ht="16.8" x14ac:dyDescent="0.3">
      <c r="A11" s="141" t="s">
        <v>539</v>
      </c>
      <c r="B11" s="141"/>
      <c r="C11" s="111">
        <v>191087</v>
      </c>
      <c r="D11" s="112" t="s">
        <v>517</v>
      </c>
      <c r="E11" s="22"/>
    </row>
    <row r="12" spans="1:43" s="34" customFormat="1" ht="37.200000000000003" customHeight="1" x14ac:dyDescent="0.3">
      <c r="A12" s="141" t="s">
        <v>503</v>
      </c>
      <c r="B12" s="141"/>
      <c r="C12" s="99">
        <v>1</v>
      </c>
      <c r="D12" s="100" t="s">
        <v>540</v>
      </c>
      <c r="E12" s="22"/>
    </row>
    <row r="13" spans="1:43" s="34" customFormat="1" ht="16.8" x14ac:dyDescent="0.3">
      <c r="A13" s="47"/>
      <c r="B13" s="48"/>
      <c r="C13" s="48"/>
      <c r="D13" s="48"/>
      <c r="E13" s="22"/>
    </row>
    <row r="14" spans="1:43" s="34" customFormat="1" ht="16.8" x14ac:dyDescent="0.3">
      <c r="A14" s="47"/>
      <c r="B14" s="48"/>
      <c r="C14" s="48"/>
      <c r="D14" s="139" t="s">
        <v>521</v>
      </c>
      <c r="E14" s="89" t="str">
        <f>"//"&amp;$C$8</f>
        <v>//Solar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</row>
    <row r="15" spans="1:43" s="34" customFormat="1" ht="16.8" x14ac:dyDescent="0.3">
      <c r="A15" s="47"/>
      <c r="B15" s="48"/>
      <c r="C15" s="48"/>
      <c r="D15" s="139"/>
      <c r="E15" s="89">
        <f>$C$10</f>
        <v>991087</v>
      </c>
      <c r="F15" s="93" t="s">
        <v>506</v>
      </c>
      <c r="G15" s="93">
        <v>1</v>
      </c>
      <c r="H15" s="93" t="s">
        <v>507</v>
      </c>
      <c r="I15" s="93">
        <v>101</v>
      </c>
      <c r="J15" s="93">
        <v>1</v>
      </c>
      <c r="K15" s="93">
        <v>0</v>
      </c>
      <c r="L15" s="93">
        <v>9</v>
      </c>
      <c r="M15" s="93">
        <v>3</v>
      </c>
      <c r="N15" s="93">
        <v>3</v>
      </c>
      <c r="O15" s="95">
        <f t="array" ref="O15:W15">TRANSPOSE(C25:C33)</f>
        <v>0.02</v>
      </c>
      <c r="P15" s="95">
        <v>0.02</v>
      </c>
      <c r="Q15" s="95">
        <v>0.4</v>
      </c>
      <c r="R15" s="95">
        <v>0.9</v>
      </c>
      <c r="S15" s="95">
        <v>1.1100000000000001</v>
      </c>
      <c r="T15" s="95">
        <v>1.2</v>
      </c>
      <c r="U15" s="95">
        <v>2</v>
      </c>
      <c r="V15" s="95">
        <v>2</v>
      </c>
      <c r="W15" s="95">
        <v>0.02</v>
      </c>
      <c r="X15" s="93" t="s">
        <v>508</v>
      </c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</row>
    <row r="16" spans="1:43" s="34" customFormat="1" ht="16.8" x14ac:dyDescent="0.3">
      <c r="A16" s="47"/>
      <c r="B16" s="48"/>
      <c r="C16" s="48"/>
      <c r="D16" s="139"/>
      <c r="E16" s="89">
        <f t="shared" ref="E16:E18" si="0">$C$10</f>
        <v>991087</v>
      </c>
      <c r="F16" s="93" t="s">
        <v>506</v>
      </c>
      <c r="G16" s="93">
        <v>1</v>
      </c>
      <c r="H16" s="93" t="s">
        <v>509</v>
      </c>
      <c r="I16" s="93">
        <v>102</v>
      </c>
      <c r="J16" s="93">
        <v>0</v>
      </c>
      <c r="K16" s="93">
        <v>4</v>
      </c>
      <c r="L16" s="93">
        <v>24</v>
      </c>
      <c r="M16" s="93">
        <v>10</v>
      </c>
      <c r="N16" s="93">
        <v>4</v>
      </c>
      <c r="O16" s="89">
        <f>C11</f>
        <v>191087</v>
      </c>
      <c r="P16" s="93">
        <v>0</v>
      </c>
      <c r="Q16" s="93">
        <v>1</v>
      </c>
      <c r="R16" s="93">
        <v>0</v>
      </c>
      <c r="S16" s="95">
        <f t="array" ref="S16:AP16">TRANSPOSE(C58:C81)</f>
        <v>0.15</v>
      </c>
      <c r="T16" s="95">
        <v>18</v>
      </c>
      <c r="U16" s="95">
        <v>5</v>
      </c>
      <c r="V16" s="95">
        <v>0.05</v>
      </c>
      <c r="W16" s="95">
        <v>0.1</v>
      </c>
      <c r="X16" s="95">
        <v>0</v>
      </c>
      <c r="Y16" s="95">
        <v>0.08</v>
      </c>
      <c r="Z16" s="95">
        <v>0.47</v>
      </c>
      <c r="AA16" s="95">
        <v>-0.47</v>
      </c>
      <c r="AB16" s="95">
        <v>1.1000000000000001</v>
      </c>
      <c r="AC16" s="95">
        <v>0</v>
      </c>
      <c r="AD16" s="95">
        <v>0.5</v>
      </c>
      <c r="AE16" s="95">
        <v>-0.5</v>
      </c>
      <c r="AF16" s="95">
        <v>0.05</v>
      </c>
      <c r="AG16" s="95">
        <v>0.1</v>
      </c>
      <c r="AH16" s="95">
        <v>0.9</v>
      </c>
      <c r="AI16" s="95">
        <v>1.1000000000000001</v>
      </c>
      <c r="AJ16" s="95">
        <v>120</v>
      </c>
      <c r="AK16" s="95">
        <v>0.05</v>
      </c>
      <c r="AL16" s="95">
        <v>0.05</v>
      </c>
      <c r="AM16" s="95">
        <v>1.7</v>
      </c>
      <c r="AN16" s="95">
        <v>1.1100000000000001</v>
      </c>
      <c r="AO16" s="95">
        <v>1.1100000000000001</v>
      </c>
      <c r="AP16" s="94">
        <v>60</v>
      </c>
      <c r="AQ16" s="93" t="s">
        <v>508</v>
      </c>
    </row>
    <row r="17" spans="1:43" s="34" customFormat="1" ht="16.8" x14ac:dyDescent="0.3">
      <c r="A17" s="47"/>
      <c r="B17" s="48"/>
      <c r="C17" s="48"/>
      <c r="D17" s="139"/>
      <c r="E17" s="89">
        <f t="shared" si="0"/>
        <v>991087</v>
      </c>
      <c r="F17" s="93" t="s">
        <v>506</v>
      </c>
      <c r="G17" s="93">
        <v>1</v>
      </c>
      <c r="H17" s="93" t="s">
        <v>510</v>
      </c>
      <c r="I17" s="93">
        <v>103</v>
      </c>
      <c r="J17" s="93">
        <v>0</v>
      </c>
      <c r="K17" s="93">
        <v>0</v>
      </c>
      <c r="L17" s="93">
        <v>5</v>
      </c>
      <c r="M17" s="93">
        <v>0</v>
      </c>
      <c r="N17" s="93">
        <v>1</v>
      </c>
      <c r="O17" s="95">
        <f t="array" ref="O17:S17">TRANSPOSE(C98:C102)</f>
        <v>0.16</v>
      </c>
      <c r="P17" s="95">
        <v>0.38</v>
      </c>
      <c r="Q17" s="95">
        <v>0.59</v>
      </c>
      <c r="R17" s="95">
        <v>0.85</v>
      </c>
      <c r="S17" s="95">
        <v>1</v>
      </c>
      <c r="T17" s="93" t="s">
        <v>508</v>
      </c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</row>
    <row r="18" spans="1:43" s="34" customFormat="1" ht="16.8" x14ac:dyDescent="0.3">
      <c r="A18" s="47"/>
      <c r="B18" s="48"/>
      <c r="C18" s="48"/>
      <c r="D18" s="139"/>
      <c r="E18" s="89">
        <f t="shared" si="0"/>
        <v>991087</v>
      </c>
      <c r="F18" s="93" t="s">
        <v>506</v>
      </c>
      <c r="G18" s="93">
        <v>1</v>
      </c>
      <c r="H18" s="93" t="s">
        <v>511</v>
      </c>
      <c r="I18" s="93">
        <v>104</v>
      </c>
      <c r="J18" s="93">
        <v>0</v>
      </c>
      <c r="K18" s="93">
        <v>1</v>
      </c>
      <c r="L18" s="93">
        <v>20</v>
      </c>
      <c r="M18" s="93">
        <v>0</v>
      </c>
      <c r="N18" s="93">
        <v>1</v>
      </c>
      <c r="O18" s="94">
        <f>C12</f>
        <v>1</v>
      </c>
      <c r="P18" s="89">
        <f t="array" ref="P18:AI18">TRANSPOSE(C115:C134)</f>
        <v>5</v>
      </c>
      <c r="Q18" s="89">
        <v>1000</v>
      </c>
      <c r="R18" s="89">
        <v>8</v>
      </c>
      <c r="S18" s="89">
        <v>1000</v>
      </c>
      <c r="T18" s="89">
        <v>13</v>
      </c>
      <c r="U18" s="89">
        <v>300</v>
      </c>
      <c r="V18" s="89">
        <v>38</v>
      </c>
      <c r="W18" s="89">
        <v>300</v>
      </c>
      <c r="X18" s="89">
        <v>43</v>
      </c>
      <c r="Y18" s="89">
        <v>1000</v>
      </c>
      <c r="Z18" s="89">
        <v>0</v>
      </c>
      <c r="AA18" s="89">
        <v>0</v>
      </c>
      <c r="AB18" s="89">
        <v>0</v>
      </c>
      <c r="AC18" s="89">
        <v>0</v>
      </c>
      <c r="AD18" s="89">
        <v>0</v>
      </c>
      <c r="AE18" s="89">
        <v>0</v>
      </c>
      <c r="AF18" s="89">
        <v>0</v>
      </c>
      <c r="AG18" s="89">
        <v>0</v>
      </c>
      <c r="AH18" s="89">
        <v>0</v>
      </c>
      <c r="AI18" s="89">
        <v>0</v>
      </c>
      <c r="AJ18" s="93" t="s">
        <v>512</v>
      </c>
      <c r="AK18" s="93"/>
      <c r="AL18" s="93"/>
      <c r="AM18" s="93"/>
      <c r="AN18" s="93"/>
      <c r="AO18" s="93"/>
      <c r="AP18" s="93"/>
      <c r="AQ18" s="93"/>
    </row>
    <row r="19" spans="1:43" s="34" customFormat="1" ht="16.8" x14ac:dyDescent="0.3">
      <c r="A19" s="47"/>
      <c r="B19" s="48"/>
      <c r="C19" s="48"/>
      <c r="D19" s="48"/>
      <c r="E19" s="22"/>
    </row>
    <row r="20" spans="1:43" s="20" customFormat="1" ht="16.95" customHeight="1" x14ac:dyDescent="0.4">
      <c r="A20" s="142" t="s">
        <v>514</v>
      </c>
      <c r="B20" s="142"/>
      <c r="C20" s="142"/>
      <c r="D20" s="142"/>
    </row>
    <row r="21" spans="1:43" s="34" customFormat="1" ht="16.8" x14ac:dyDescent="0.3">
      <c r="A21" s="71"/>
      <c r="B21" s="48"/>
      <c r="C21" s="48"/>
      <c r="D21" s="48"/>
      <c r="E21" s="22"/>
    </row>
    <row r="22" spans="1:43" ht="16.2" x14ac:dyDescent="0.35">
      <c r="A22" s="5" t="s">
        <v>0</v>
      </c>
    </row>
    <row r="23" spans="1:43" ht="15.6" x14ac:dyDescent="0.3">
      <c r="B23" s="3" t="s">
        <v>1</v>
      </c>
      <c r="C23" s="3"/>
      <c r="D23" s="3"/>
    </row>
    <row r="24" spans="1:43" ht="15" x14ac:dyDescent="0.3">
      <c r="B24" s="6" t="s">
        <v>2</v>
      </c>
      <c r="C24" s="6" t="s">
        <v>3</v>
      </c>
      <c r="D24" s="6" t="s">
        <v>4</v>
      </c>
      <c r="E24" s="120" t="s">
        <v>552</v>
      </c>
      <c r="F24" s="51" t="s">
        <v>23</v>
      </c>
    </row>
    <row r="25" spans="1:43" ht="15" x14ac:dyDescent="0.25">
      <c r="B25" s="64" t="s">
        <v>5</v>
      </c>
      <c r="C25" s="46">
        <v>0.02</v>
      </c>
      <c r="D25" s="64" t="s">
        <v>6</v>
      </c>
      <c r="E25" s="121"/>
    </row>
    <row r="26" spans="1:43" ht="15" x14ac:dyDescent="0.3">
      <c r="B26" s="64" t="s">
        <v>7</v>
      </c>
      <c r="C26" s="46">
        <v>0.02</v>
      </c>
      <c r="D26" s="64" t="s">
        <v>8</v>
      </c>
      <c r="E26" s="121"/>
      <c r="F26" s="15" t="s">
        <v>468</v>
      </c>
    </row>
    <row r="27" spans="1:43" ht="15" x14ac:dyDescent="0.3">
      <c r="B27" s="64" t="s">
        <v>9</v>
      </c>
      <c r="C27" s="46">
        <v>0.4</v>
      </c>
      <c r="D27" s="64" t="s">
        <v>10</v>
      </c>
      <c r="E27" s="121"/>
      <c r="F27" s="15" t="s">
        <v>469</v>
      </c>
    </row>
    <row r="28" spans="1:43" ht="15" x14ac:dyDescent="0.3">
      <c r="B28" s="64" t="s">
        <v>11</v>
      </c>
      <c r="C28" s="46">
        <v>0.9</v>
      </c>
      <c r="D28" s="64" t="s">
        <v>12</v>
      </c>
      <c r="E28" s="121"/>
      <c r="F28" s="15" t="s">
        <v>470</v>
      </c>
    </row>
    <row r="29" spans="1:43" ht="15" x14ac:dyDescent="0.25">
      <c r="B29" s="64" t="s">
        <v>13</v>
      </c>
      <c r="C29" s="46">
        <v>1.1100000000000001</v>
      </c>
      <c r="D29" s="64" t="s">
        <v>14</v>
      </c>
      <c r="E29" s="121"/>
    </row>
    <row r="30" spans="1:43" ht="15" x14ac:dyDescent="0.25">
      <c r="B30" s="64" t="s">
        <v>15</v>
      </c>
      <c r="C30" s="46">
        <v>1.2</v>
      </c>
      <c r="D30" s="64" t="s">
        <v>16</v>
      </c>
      <c r="E30" s="121"/>
    </row>
    <row r="31" spans="1:43" ht="15" x14ac:dyDescent="0.25">
      <c r="B31" s="64" t="s">
        <v>17</v>
      </c>
      <c r="C31" s="46">
        <v>2</v>
      </c>
      <c r="D31" s="64" t="s">
        <v>18</v>
      </c>
      <c r="E31" s="121"/>
    </row>
    <row r="32" spans="1:43" ht="15" x14ac:dyDescent="0.25">
      <c r="B32" s="64" t="s">
        <v>19</v>
      </c>
      <c r="C32" s="46">
        <v>2</v>
      </c>
      <c r="D32" s="64" t="s">
        <v>20</v>
      </c>
      <c r="E32" s="121"/>
    </row>
    <row r="33" spans="1:6" ht="15" x14ac:dyDescent="0.25">
      <c r="B33" s="64" t="s">
        <v>21</v>
      </c>
      <c r="C33" s="46">
        <v>0.02</v>
      </c>
      <c r="D33" s="64" t="s">
        <v>22</v>
      </c>
      <c r="E33" s="121"/>
    </row>
    <row r="34" spans="1:6" ht="15" x14ac:dyDescent="0.25">
      <c r="B34" s="7"/>
      <c r="C34" s="8"/>
      <c r="D34" s="7"/>
    </row>
    <row r="35" spans="1:6" ht="15" x14ac:dyDescent="0.25">
      <c r="B35" s="9" t="s">
        <v>24</v>
      </c>
      <c r="C35" s="146" t="s">
        <v>4</v>
      </c>
      <c r="D35" s="146"/>
    </row>
    <row r="36" spans="1:6" ht="15" x14ac:dyDescent="0.25">
      <c r="B36" s="9" t="s">
        <v>25</v>
      </c>
      <c r="C36" s="146" t="s">
        <v>26</v>
      </c>
      <c r="D36" s="146"/>
    </row>
    <row r="37" spans="1:6" ht="15" x14ac:dyDescent="0.25">
      <c r="B37" s="9" t="s">
        <v>27</v>
      </c>
      <c r="C37" s="146" t="s">
        <v>28</v>
      </c>
      <c r="D37" s="146"/>
    </row>
    <row r="38" spans="1:6" ht="15" x14ac:dyDescent="0.25">
      <c r="B38" s="9" t="s">
        <v>29</v>
      </c>
      <c r="C38" s="146" t="s">
        <v>30</v>
      </c>
      <c r="D38" s="146"/>
    </row>
    <row r="39" spans="1:6" ht="15" x14ac:dyDescent="0.25">
      <c r="B39" s="10"/>
      <c r="C39" s="10"/>
      <c r="D39" s="10"/>
    </row>
    <row r="40" spans="1:6" ht="15" x14ac:dyDescent="0.25">
      <c r="B40" s="11" t="s">
        <v>31</v>
      </c>
      <c r="C40" s="145" t="s">
        <v>4</v>
      </c>
      <c r="D40" s="145"/>
    </row>
    <row r="41" spans="1:6" ht="30" x14ac:dyDescent="0.25">
      <c r="B41" s="12" t="s">
        <v>32</v>
      </c>
      <c r="C41" s="145" t="s">
        <v>33</v>
      </c>
      <c r="D41" s="145"/>
    </row>
    <row r="42" spans="1:6" s="4" customFormat="1" x14ac:dyDescent="0.25"/>
    <row r="43" spans="1:6" ht="16.2" x14ac:dyDescent="0.35">
      <c r="A43" s="5" t="s">
        <v>34</v>
      </c>
    </row>
    <row r="44" spans="1:6" x14ac:dyDescent="0.25">
      <c r="B44" s="2" t="s">
        <v>35</v>
      </c>
    </row>
    <row r="45" spans="1:6" ht="15" x14ac:dyDescent="0.3">
      <c r="B45" s="12" t="s">
        <v>36</v>
      </c>
      <c r="C45" s="12" t="s">
        <v>3</v>
      </c>
      <c r="D45" s="12" t="s">
        <v>4</v>
      </c>
      <c r="E45" s="120" t="s">
        <v>552</v>
      </c>
      <c r="F45" s="51" t="s">
        <v>100</v>
      </c>
    </row>
    <row r="46" spans="1:6" ht="30" x14ac:dyDescent="0.25">
      <c r="B46" s="65" t="s">
        <v>37</v>
      </c>
      <c r="C46" s="45">
        <f>C11</f>
        <v>191087</v>
      </c>
      <c r="D46" s="65" t="s">
        <v>38</v>
      </c>
      <c r="E46" s="122" t="s">
        <v>517</v>
      </c>
    </row>
    <row r="47" spans="1:6" ht="15" x14ac:dyDescent="0.3">
      <c r="B47" s="143" t="s">
        <v>39</v>
      </c>
      <c r="C47" s="144">
        <v>0</v>
      </c>
      <c r="D47" s="65" t="s">
        <v>40</v>
      </c>
      <c r="E47" s="120"/>
      <c r="F47" s="15" t="s">
        <v>471</v>
      </c>
    </row>
    <row r="48" spans="1:6" ht="15" x14ac:dyDescent="0.3">
      <c r="B48" s="143"/>
      <c r="C48" s="144"/>
      <c r="D48" s="66" t="s">
        <v>460</v>
      </c>
      <c r="E48" s="120"/>
      <c r="F48" s="15" t="s">
        <v>472</v>
      </c>
    </row>
    <row r="49" spans="2:6" ht="15" x14ac:dyDescent="0.3">
      <c r="B49" s="143"/>
      <c r="C49" s="144"/>
      <c r="D49" s="66" t="s">
        <v>461</v>
      </c>
      <c r="E49" s="120"/>
      <c r="F49" s="15" t="s">
        <v>473</v>
      </c>
    </row>
    <row r="50" spans="2:6" ht="15" x14ac:dyDescent="0.3">
      <c r="B50" s="143" t="s">
        <v>41</v>
      </c>
      <c r="C50" s="144">
        <v>1</v>
      </c>
      <c r="D50" s="65" t="s">
        <v>42</v>
      </c>
      <c r="E50" s="120"/>
      <c r="F50" s="15" t="s">
        <v>474</v>
      </c>
    </row>
    <row r="51" spans="2:6" ht="15" x14ac:dyDescent="0.3">
      <c r="B51" s="143"/>
      <c r="C51" s="144"/>
      <c r="D51" s="66" t="s">
        <v>462</v>
      </c>
      <c r="E51" s="120"/>
      <c r="F51" s="15" t="s">
        <v>475</v>
      </c>
    </row>
    <row r="52" spans="2:6" ht="30" x14ac:dyDescent="0.3">
      <c r="B52" s="143"/>
      <c r="C52" s="144"/>
      <c r="D52" s="66" t="s">
        <v>463</v>
      </c>
      <c r="E52" s="120"/>
      <c r="F52" s="15" t="s">
        <v>476</v>
      </c>
    </row>
    <row r="53" spans="2:6" ht="15" x14ac:dyDescent="0.3">
      <c r="B53" s="143" t="s">
        <v>39</v>
      </c>
      <c r="C53" s="144">
        <v>0</v>
      </c>
      <c r="D53" s="65" t="s">
        <v>43</v>
      </c>
      <c r="E53" s="120"/>
      <c r="F53" s="15" t="s">
        <v>480</v>
      </c>
    </row>
    <row r="54" spans="2:6" ht="15" x14ac:dyDescent="0.25">
      <c r="B54" s="143"/>
      <c r="C54" s="144"/>
      <c r="D54" s="66" t="s">
        <v>464</v>
      </c>
      <c r="E54" s="120"/>
    </row>
    <row r="55" spans="2:6" ht="15" x14ac:dyDescent="0.25">
      <c r="B55" s="143"/>
      <c r="C55" s="144"/>
      <c r="D55" s="66" t="s">
        <v>465</v>
      </c>
      <c r="E55" s="120"/>
    </row>
    <row r="56" spans="2:6" ht="15" x14ac:dyDescent="0.3">
      <c r="B56" s="13"/>
      <c r="C56" s="13"/>
      <c r="D56" s="67"/>
    </row>
    <row r="57" spans="2:6" ht="15" x14ac:dyDescent="0.25">
      <c r="B57" s="12" t="s">
        <v>2</v>
      </c>
      <c r="C57" s="12" t="s">
        <v>3</v>
      </c>
      <c r="D57" s="68" t="s">
        <v>4</v>
      </c>
      <c r="E57" s="120" t="s">
        <v>552</v>
      </c>
    </row>
    <row r="58" spans="2:6" ht="15" x14ac:dyDescent="0.25">
      <c r="B58" s="65" t="s">
        <v>5</v>
      </c>
      <c r="C58" s="46">
        <v>0.15</v>
      </c>
      <c r="D58" s="65" t="s">
        <v>44</v>
      </c>
      <c r="E58" s="120"/>
    </row>
    <row r="59" spans="2:6" ht="15" x14ac:dyDescent="0.25">
      <c r="B59" s="65" t="s">
        <v>7</v>
      </c>
      <c r="C59" s="46">
        <v>18</v>
      </c>
      <c r="D59" s="65" t="s">
        <v>45</v>
      </c>
      <c r="E59" s="120"/>
    </row>
    <row r="60" spans="2:6" ht="15" x14ac:dyDescent="0.25">
      <c r="B60" s="65" t="s">
        <v>9</v>
      </c>
      <c r="C60" s="46">
        <v>5</v>
      </c>
      <c r="D60" s="65" t="s">
        <v>46</v>
      </c>
      <c r="E60" s="120"/>
    </row>
    <row r="61" spans="2:6" ht="15" x14ac:dyDescent="0.25">
      <c r="B61" s="65" t="s">
        <v>11</v>
      </c>
      <c r="C61" s="46">
        <v>0.05</v>
      </c>
      <c r="D61" s="65" t="s">
        <v>47</v>
      </c>
      <c r="E61" s="120"/>
    </row>
    <row r="62" spans="2:6" ht="15" x14ac:dyDescent="0.25">
      <c r="B62" s="65" t="s">
        <v>13</v>
      </c>
      <c r="C62" s="46">
        <v>0.1</v>
      </c>
      <c r="D62" s="65" t="s">
        <v>48</v>
      </c>
      <c r="E62" s="120"/>
    </row>
    <row r="63" spans="2:6" ht="15" x14ac:dyDescent="0.25">
      <c r="B63" s="65" t="s">
        <v>15</v>
      </c>
      <c r="C63" s="46">
        <v>0</v>
      </c>
      <c r="D63" s="65" t="s">
        <v>49</v>
      </c>
      <c r="E63" s="120"/>
    </row>
    <row r="64" spans="2:6" ht="15" x14ac:dyDescent="0.25">
      <c r="B64" s="65" t="s">
        <v>17</v>
      </c>
      <c r="C64" s="46">
        <v>0.08</v>
      </c>
      <c r="D64" s="65" t="s">
        <v>50</v>
      </c>
      <c r="E64" s="120"/>
    </row>
    <row r="65" spans="2:5" ht="15" x14ac:dyDescent="0.25">
      <c r="B65" s="65" t="s">
        <v>19</v>
      </c>
      <c r="C65" s="46">
        <v>0.47</v>
      </c>
      <c r="D65" s="65" t="s">
        <v>51</v>
      </c>
      <c r="E65" s="120"/>
    </row>
    <row r="66" spans="2:5" ht="15" x14ac:dyDescent="0.25">
      <c r="B66" s="65" t="s">
        <v>21</v>
      </c>
      <c r="C66" s="46">
        <v>-0.47</v>
      </c>
      <c r="D66" s="65" t="s">
        <v>52</v>
      </c>
      <c r="E66" s="120"/>
    </row>
    <row r="67" spans="2:5" ht="15" x14ac:dyDescent="0.25">
      <c r="B67" s="65" t="s">
        <v>53</v>
      </c>
      <c r="C67" s="46">
        <v>1.1000000000000001</v>
      </c>
      <c r="D67" s="65" t="s">
        <v>54</v>
      </c>
      <c r="E67" s="120"/>
    </row>
    <row r="68" spans="2:5" ht="15" x14ac:dyDescent="0.25">
      <c r="B68" s="65" t="s">
        <v>55</v>
      </c>
      <c r="C68" s="46">
        <v>0</v>
      </c>
      <c r="D68" s="65" t="s">
        <v>56</v>
      </c>
      <c r="E68" s="120"/>
    </row>
    <row r="69" spans="2:5" ht="15" x14ac:dyDescent="0.25">
      <c r="B69" s="65" t="s">
        <v>57</v>
      </c>
      <c r="C69" s="46">
        <v>0.5</v>
      </c>
      <c r="D69" s="65" t="s">
        <v>58</v>
      </c>
      <c r="E69" s="120"/>
    </row>
    <row r="70" spans="2:5" ht="15" x14ac:dyDescent="0.25">
      <c r="B70" s="65" t="s">
        <v>59</v>
      </c>
      <c r="C70" s="46">
        <v>-0.5</v>
      </c>
      <c r="D70" s="65" t="s">
        <v>60</v>
      </c>
      <c r="E70" s="120"/>
    </row>
    <row r="71" spans="2:5" ht="15" x14ac:dyDescent="0.25">
      <c r="B71" s="65" t="s">
        <v>61</v>
      </c>
      <c r="C71" s="46">
        <v>0.05</v>
      </c>
      <c r="D71" s="65" t="s">
        <v>62</v>
      </c>
      <c r="E71" s="120"/>
    </row>
    <row r="72" spans="2:5" ht="15" x14ac:dyDescent="0.25">
      <c r="B72" s="65" t="s">
        <v>63</v>
      </c>
      <c r="C72" s="46">
        <v>0.1</v>
      </c>
      <c r="D72" s="65" t="s">
        <v>64</v>
      </c>
      <c r="E72" s="120"/>
    </row>
    <row r="73" spans="2:5" ht="15" x14ac:dyDescent="0.25">
      <c r="B73" s="65" t="s">
        <v>65</v>
      </c>
      <c r="C73" s="46">
        <v>0.9</v>
      </c>
      <c r="D73" s="65" t="s">
        <v>66</v>
      </c>
      <c r="E73" s="120"/>
    </row>
    <row r="74" spans="2:5" ht="15" x14ac:dyDescent="0.25">
      <c r="B74" s="65" t="s">
        <v>67</v>
      </c>
      <c r="C74" s="46">
        <v>1.1000000000000001</v>
      </c>
      <c r="D74" s="65" t="s">
        <v>68</v>
      </c>
      <c r="E74" s="120"/>
    </row>
    <row r="75" spans="2:5" ht="15" x14ac:dyDescent="0.25">
      <c r="B75" s="65" t="s">
        <v>69</v>
      </c>
      <c r="C75" s="46">
        <v>120</v>
      </c>
      <c r="D75" s="65" t="s">
        <v>70</v>
      </c>
      <c r="E75" s="120"/>
    </row>
    <row r="76" spans="2:5" ht="15" x14ac:dyDescent="0.25">
      <c r="B76" s="65" t="s">
        <v>71</v>
      </c>
      <c r="C76" s="46">
        <v>0.05</v>
      </c>
      <c r="D76" s="65" t="s">
        <v>72</v>
      </c>
      <c r="E76" s="120"/>
    </row>
    <row r="77" spans="2:5" ht="15" x14ac:dyDescent="0.25">
      <c r="B77" s="65" t="s">
        <v>73</v>
      </c>
      <c r="C77" s="46">
        <v>0.05</v>
      </c>
      <c r="D77" s="65" t="s">
        <v>74</v>
      </c>
      <c r="E77" s="120"/>
    </row>
    <row r="78" spans="2:5" ht="15" x14ac:dyDescent="0.25">
      <c r="B78" s="65" t="s">
        <v>75</v>
      </c>
      <c r="C78" s="46">
        <v>1.7</v>
      </c>
      <c r="D78" s="65" t="s">
        <v>76</v>
      </c>
      <c r="E78" s="120"/>
    </row>
    <row r="79" spans="2:5" ht="15" x14ac:dyDescent="0.25">
      <c r="B79" s="65" t="s">
        <v>77</v>
      </c>
      <c r="C79" s="46">
        <v>1.1100000000000001</v>
      </c>
      <c r="D79" s="65" t="s">
        <v>78</v>
      </c>
      <c r="E79" s="120"/>
    </row>
    <row r="80" spans="2:5" ht="15" x14ac:dyDescent="0.25">
      <c r="B80" s="65" t="s">
        <v>79</v>
      </c>
      <c r="C80" s="46">
        <v>1.1100000000000001</v>
      </c>
      <c r="D80" s="65" t="s">
        <v>80</v>
      </c>
      <c r="E80" s="120"/>
    </row>
    <row r="81" spans="1:5" ht="15" x14ac:dyDescent="0.3">
      <c r="B81" s="69" t="s">
        <v>81</v>
      </c>
      <c r="C81" s="45">
        <f>C9</f>
        <v>60</v>
      </c>
      <c r="D81" s="69" t="s">
        <v>82</v>
      </c>
      <c r="E81" s="122" t="s">
        <v>553</v>
      </c>
    </row>
    <row r="82" spans="1:5" ht="15" x14ac:dyDescent="0.3">
      <c r="B82" s="13"/>
      <c r="C82" s="13"/>
      <c r="D82" s="13"/>
    </row>
    <row r="83" spans="1:5" ht="15" x14ac:dyDescent="0.25">
      <c r="B83" s="12" t="s">
        <v>24</v>
      </c>
      <c r="C83" s="145" t="s">
        <v>4</v>
      </c>
      <c r="D83" s="145"/>
    </row>
    <row r="84" spans="1:5" ht="15" x14ac:dyDescent="0.25">
      <c r="B84" s="12" t="s">
        <v>25</v>
      </c>
      <c r="C84" s="145" t="s">
        <v>83</v>
      </c>
      <c r="D84" s="145"/>
    </row>
    <row r="85" spans="1:5" ht="15" x14ac:dyDescent="0.25">
      <c r="B85" s="12" t="s">
        <v>27</v>
      </c>
      <c r="C85" s="145" t="s">
        <v>84</v>
      </c>
      <c r="D85" s="145"/>
    </row>
    <row r="86" spans="1:5" ht="15" x14ac:dyDescent="0.25">
      <c r="B86" s="12" t="s">
        <v>29</v>
      </c>
      <c r="C86" s="145" t="s">
        <v>85</v>
      </c>
      <c r="D86" s="145"/>
    </row>
    <row r="87" spans="1:5" ht="15" x14ac:dyDescent="0.25">
      <c r="B87" s="12" t="s">
        <v>86</v>
      </c>
      <c r="C87" s="145" t="s">
        <v>87</v>
      </c>
      <c r="D87" s="145"/>
    </row>
    <row r="88" spans="1:5" ht="15" x14ac:dyDescent="0.25">
      <c r="B88" s="12" t="s">
        <v>88</v>
      </c>
      <c r="C88" s="145" t="s">
        <v>89</v>
      </c>
      <c r="D88" s="145"/>
    </row>
    <row r="89" spans="1:5" ht="15" x14ac:dyDescent="0.25">
      <c r="B89" s="12" t="s">
        <v>90</v>
      </c>
      <c r="C89" s="145" t="s">
        <v>91</v>
      </c>
      <c r="D89" s="145"/>
    </row>
    <row r="90" spans="1:5" ht="15" x14ac:dyDescent="0.25">
      <c r="B90" s="12" t="s">
        <v>92</v>
      </c>
      <c r="C90" s="145" t="s">
        <v>93</v>
      </c>
      <c r="D90" s="145"/>
    </row>
    <row r="91" spans="1:5" ht="15" x14ac:dyDescent="0.25">
      <c r="B91" s="12" t="s">
        <v>94</v>
      </c>
      <c r="C91" s="145" t="s">
        <v>95</v>
      </c>
      <c r="D91" s="145"/>
    </row>
    <row r="92" spans="1:5" ht="15" x14ac:dyDescent="0.25">
      <c r="B92" s="12" t="s">
        <v>96</v>
      </c>
      <c r="C92" s="145" t="s">
        <v>97</v>
      </c>
      <c r="D92" s="145"/>
    </row>
    <row r="93" spans="1:5" ht="15" x14ac:dyDescent="0.25">
      <c r="B93" s="12" t="s">
        <v>98</v>
      </c>
      <c r="C93" s="145" t="s">
        <v>99</v>
      </c>
      <c r="D93" s="145"/>
    </row>
    <row r="94" spans="1:5" s="4" customFormat="1" x14ac:dyDescent="0.25"/>
    <row r="95" spans="1:5" ht="16.2" x14ac:dyDescent="0.35">
      <c r="A95" s="5" t="s">
        <v>101</v>
      </c>
    </row>
    <row r="96" spans="1:5" x14ac:dyDescent="0.25">
      <c r="B96" s="2" t="s">
        <v>102</v>
      </c>
    </row>
    <row r="97" spans="1:6" ht="15" x14ac:dyDescent="0.3">
      <c r="A97" s="14"/>
      <c r="B97" s="12" t="s">
        <v>2</v>
      </c>
      <c r="C97" s="12" t="s">
        <v>3</v>
      </c>
      <c r="D97" s="11" t="s">
        <v>4</v>
      </c>
      <c r="E97" s="120" t="s">
        <v>552</v>
      </c>
      <c r="F97" s="51" t="s">
        <v>110</v>
      </c>
    </row>
    <row r="98" spans="1:6" ht="30" x14ac:dyDescent="0.25">
      <c r="B98" s="65" t="s">
        <v>5</v>
      </c>
      <c r="C98" s="46">
        <v>0.16</v>
      </c>
      <c r="D98" s="65" t="s">
        <v>103</v>
      </c>
      <c r="E98" s="122" t="s">
        <v>554</v>
      </c>
    </row>
    <row r="99" spans="1:6" ht="30" x14ac:dyDescent="0.3">
      <c r="B99" s="65" t="s">
        <v>7</v>
      </c>
      <c r="C99" s="46">
        <v>0.38</v>
      </c>
      <c r="D99" s="65" t="s">
        <v>104</v>
      </c>
      <c r="E99" s="122" t="s">
        <v>555</v>
      </c>
      <c r="F99" s="15" t="s">
        <v>477</v>
      </c>
    </row>
    <row r="100" spans="1:6" ht="30" x14ac:dyDescent="0.3">
      <c r="B100" s="65" t="s">
        <v>9</v>
      </c>
      <c r="C100" s="46">
        <v>0.59</v>
      </c>
      <c r="D100" s="65" t="s">
        <v>105</v>
      </c>
      <c r="E100" s="122" t="s">
        <v>556</v>
      </c>
      <c r="F100" s="15" t="s">
        <v>478</v>
      </c>
    </row>
    <row r="101" spans="1:6" ht="30" x14ac:dyDescent="0.25">
      <c r="B101" s="65" t="s">
        <v>11</v>
      </c>
      <c r="C101" s="46">
        <v>0.85</v>
      </c>
      <c r="D101" s="65" t="s">
        <v>106</v>
      </c>
      <c r="E101" s="122" t="s">
        <v>557</v>
      </c>
    </row>
    <row r="102" spans="1:6" ht="30" x14ac:dyDescent="0.25">
      <c r="B102" s="65" t="s">
        <v>13</v>
      </c>
      <c r="C102" s="46">
        <v>1</v>
      </c>
      <c r="D102" s="65" t="s">
        <v>107</v>
      </c>
      <c r="E102" s="122" t="s">
        <v>558</v>
      </c>
    </row>
    <row r="103" spans="1:6" ht="15" x14ac:dyDescent="0.3">
      <c r="B103" s="13"/>
      <c r="C103" s="13"/>
      <c r="D103" s="13"/>
    </row>
    <row r="104" spans="1:6" ht="15" x14ac:dyDescent="0.25">
      <c r="B104" s="16" t="s">
        <v>31</v>
      </c>
      <c r="C104" s="147" t="s">
        <v>4</v>
      </c>
      <c r="D104" s="147"/>
    </row>
    <row r="105" spans="1:6" ht="15" x14ac:dyDescent="0.25">
      <c r="B105" s="16" t="s">
        <v>108</v>
      </c>
      <c r="C105" s="147" t="s">
        <v>109</v>
      </c>
      <c r="D105" s="147"/>
    </row>
    <row r="106" spans="1:6" s="4" customFormat="1" x14ac:dyDescent="0.25"/>
    <row r="107" spans="1:6" ht="16.2" x14ac:dyDescent="0.35">
      <c r="A107" s="5" t="s">
        <v>111</v>
      </c>
    </row>
    <row r="108" spans="1:6" x14ac:dyDescent="0.25">
      <c r="B108" s="2" t="s">
        <v>112</v>
      </c>
    </row>
    <row r="109" spans="1:6" ht="15" x14ac:dyDescent="0.3">
      <c r="B109" s="12" t="s">
        <v>113</v>
      </c>
      <c r="C109" s="12" t="s">
        <v>3</v>
      </c>
      <c r="D109" s="12" t="s">
        <v>4</v>
      </c>
      <c r="E109" s="120" t="s">
        <v>552</v>
      </c>
      <c r="F109" s="51" t="s">
        <v>136</v>
      </c>
    </row>
    <row r="110" spans="1:6" ht="15" x14ac:dyDescent="0.25">
      <c r="B110" s="143" t="s">
        <v>37</v>
      </c>
      <c r="C110" s="148">
        <f>C12</f>
        <v>1</v>
      </c>
      <c r="D110" s="65" t="s">
        <v>114</v>
      </c>
      <c r="E110" s="120" t="s">
        <v>559</v>
      </c>
    </row>
    <row r="111" spans="1:6" ht="15" x14ac:dyDescent="0.3">
      <c r="B111" s="143"/>
      <c r="C111" s="148"/>
      <c r="D111" s="70" t="s">
        <v>466</v>
      </c>
      <c r="E111" s="120" t="s">
        <v>560</v>
      </c>
      <c r="F111" s="15" t="s">
        <v>479</v>
      </c>
    </row>
    <row r="112" spans="1:6" ht="15" x14ac:dyDescent="0.3">
      <c r="B112" s="143"/>
      <c r="C112" s="148"/>
      <c r="D112" s="70" t="s">
        <v>467</v>
      </c>
      <c r="E112" s="120" t="s">
        <v>561</v>
      </c>
      <c r="F112" s="15" t="s">
        <v>513</v>
      </c>
    </row>
    <row r="113" spans="2:17" ht="15" x14ac:dyDescent="0.3">
      <c r="B113" s="67"/>
      <c r="C113" s="13"/>
      <c r="D113" s="67"/>
      <c r="F113" s="15" t="s">
        <v>409</v>
      </c>
    </row>
    <row r="114" spans="2:17" ht="15" x14ac:dyDescent="0.25">
      <c r="B114" s="68" t="s">
        <v>2</v>
      </c>
      <c r="C114" s="12" t="s">
        <v>3</v>
      </c>
      <c r="D114" s="68" t="s">
        <v>4</v>
      </c>
      <c r="E114" s="120" t="s">
        <v>552</v>
      </c>
    </row>
    <row r="115" spans="2:17" ht="15.6" x14ac:dyDescent="0.35">
      <c r="B115" s="65" t="s">
        <v>5</v>
      </c>
      <c r="C115" s="45">
        <v>5</v>
      </c>
      <c r="D115" s="65" t="s">
        <v>115</v>
      </c>
      <c r="E115" s="129" t="s">
        <v>570</v>
      </c>
      <c r="F115" s="30" t="s">
        <v>404</v>
      </c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 spans="2:17" ht="15" x14ac:dyDescent="0.25">
      <c r="B116" s="65" t="s">
        <v>7</v>
      </c>
      <c r="C116" s="45">
        <v>1000</v>
      </c>
      <c r="D116" s="65" t="s">
        <v>116</v>
      </c>
      <c r="E116" s="130"/>
    </row>
    <row r="117" spans="2:17" ht="15" x14ac:dyDescent="0.25">
      <c r="B117" s="65" t="s">
        <v>9</v>
      </c>
      <c r="C117" s="45">
        <v>8</v>
      </c>
      <c r="D117" s="65" t="s">
        <v>117</v>
      </c>
      <c r="E117" s="130"/>
    </row>
    <row r="118" spans="2:17" ht="15" x14ac:dyDescent="0.25">
      <c r="B118" s="65" t="s">
        <v>11</v>
      </c>
      <c r="C118" s="45">
        <v>1000</v>
      </c>
      <c r="D118" s="65" t="s">
        <v>118</v>
      </c>
      <c r="E118" s="130"/>
    </row>
    <row r="119" spans="2:17" ht="15" x14ac:dyDescent="0.25">
      <c r="B119" s="65" t="s">
        <v>13</v>
      </c>
      <c r="C119" s="45">
        <v>13</v>
      </c>
      <c r="D119" s="65" t="s">
        <v>119</v>
      </c>
      <c r="E119" s="130"/>
    </row>
    <row r="120" spans="2:17" ht="15" x14ac:dyDescent="0.25">
      <c r="B120" s="65" t="s">
        <v>15</v>
      </c>
      <c r="C120" s="45">
        <v>300</v>
      </c>
      <c r="D120" s="65" t="s">
        <v>120</v>
      </c>
      <c r="E120" s="130"/>
    </row>
    <row r="121" spans="2:17" ht="15" x14ac:dyDescent="0.25">
      <c r="B121" s="65" t="s">
        <v>17</v>
      </c>
      <c r="C121" s="45">
        <v>38</v>
      </c>
      <c r="D121" s="65" t="s">
        <v>121</v>
      </c>
      <c r="E121" s="130"/>
    </row>
    <row r="122" spans="2:17" ht="15" x14ac:dyDescent="0.25">
      <c r="B122" s="65" t="s">
        <v>19</v>
      </c>
      <c r="C122" s="45">
        <v>300</v>
      </c>
      <c r="D122" s="65" t="s">
        <v>122</v>
      </c>
      <c r="E122" s="130"/>
    </row>
    <row r="123" spans="2:17" ht="15" x14ac:dyDescent="0.25">
      <c r="B123" s="65" t="s">
        <v>21</v>
      </c>
      <c r="C123" s="45">
        <v>43</v>
      </c>
      <c r="D123" s="65" t="s">
        <v>123</v>
      </c>
      <c r="E123" s="130"/>
    </row>
    <row r="124" spans="2:17" ht="15" x14ac:dyDescent="0.25">
      <c r="B124" s="65" t="s">
        <v>53</v>
      </c>
      <c r="C124" s="45">
        <v>1000</v>
      </c>
      <c r="D124" s="65" t="s">
        <v>124</v>
      </c>
      <c r="E124" s="130"/>
    </row>
    <row r="125" spans="2:17" ht="15" x14ac:dyDescent="0.25">
      <c r="B125" s="65" t="s">
        <v>55</v>
      </c>
      <c r="C125" s="45">
        <v>0</v>
      </c>
      <c r="D125" s="65" t="s">
        <v>125</v>
      </c>
      <c r="E125" s="130"/>
    </row>
    <row r="126" spans="2:17" ht="15" x14ac:dyDescent="0.25">
      <c r="B126" s="65" t="s">
        <v>57</v>
      </c>
      <c r="C126" s="45">
        <v>0</v>
      </c>
      <c r="D126" s="65" t="s">
        <v>126</v>
      </c>
      <c r="E126" s="130"/>
    </row>
    <row r="127" spans="2:17" ht="15" x14ac:dyDescent="0.25">
      <c r="B127" s="65" t="s">
        <v>59</v>
      </c>
      <c r="C127" s="45">
        <v>0</v>
      </c>
      <c r="D127" s="65" t="s">
        <v>127</v>
      </c>
      <c r="E127" s="130"/>
    </row>
    <row r="128" spans="2:17" ht="15" x14ac:dyDescent="0.25">
      <c r="B128" s="65" t="s">
        <v>61</v>
      </c>
      <c r="C128" s="45">
        <v>0</v>
      </c>
      <c r="D128" s="65" t="s">
        <v>128</v>
      </c>
      <c r="E128" s="130"/>
    </row>
    <row r="129" spans="1:43" ht="15" x14ac:dyDescent="0.25">
      <c r="B129" s="65" t="s">
        <v>63</v>
      </c>
      <c r="C129" s="45">
        <v>0</v>
      </c>
      <c r="D129" s="65" t="s">
        <v>129</v>
      </c>
      <c r="E129" s="130"/>
    </row>
    <row r="130" spans="1:43" ht="15" x14ac:dyDescent="0.25">
      <c r="B130" s="65" t="s">
        <v>65</v>
      </c>
      <c r="C130" s="45">
        <v>0</v>
      </c>
      <c r="D130" s="65" t="s">
        <v>130</v>
      </c>
      <c r="E130" s="130"/>
    </row>
    <row r="131" spans="1:43" ht="15" x14ac:dyDescent="0.25">
      <c r="B131" s="65" t="s">
        <v>67</v>
      </c>
      <c r="C131" s="45">
        <v>0</v>
      </c>
      <c r="D131" s="65" t="s">
        <v>131</v>
      </c>
      <c r="E131" s="130"/>
    </row>
    <row r="132" spans="1:43" ht="15" x14ac:dyDescent="0.25">
      <c r="B132" s="65" t="s">
        <v>69</v>
      </c>
      <c r="C132" s="45">
        <v>0</v>
      </c>
      <c r="D132" s="65" t="s">
        <v>132</v>
      </c>
      <c r="E132" s="130"/>
    </row>
    <row r="133" spans="1:43" ht="15" x14ac:dyDescent="0.25">
      <c r="B133" s="65" t="s">
        <v>71</v>
      </c>
      <c r="C133" s="45">
        <v>0</v>
      </c>
      <c r="D133" s="65" t="s">
        <v>133</v>
      </c>
      <c r="E133" s="130"/>
    </row>
    <row r="134" spans="1:43" ht="15" x14ac:dyDescent="0.25">
      <c r="B134" s="65" t="s">
        <v>73</v>
      </c>
      <c r="C134" s="45">
        <v>0</v>
      </c>
      <c r="D134" s="65" t="s">
        <v>134</v>
      </c>
      <c r="E134" s="131"/>
    </row>
    <row r="135" spans="1:43" ht="15" x14ac:dyDescent="0.3">
      <c r="B135" s="13"/>
      <c r="C135" s="13"/>
      <c r="D135" s="13"/>
    </row>
    <row r="136" spans="1:43" ht="15" x14ac:dyDescent="0.25">
      <c r="B136" s="12" t="s">
        <v>31</v>
      </c>
      <c r="C136" s="145" t="s">
        <v>4</v>
      </c>
      <c r="D136" s="145"/>
    </row>
    <row r="137" spans="1:43" ht="15" x14ac:dyDescent="0.25">
      <c r="B137" s="12" t="s">
        <v>108</v>
      </c>
      <c r="C137" s="145" t="s">
        <v>109</v>
      </c>
      <c r="D137" s="145"/>
    </row>
    <row r="138" spans="1:43" ht="15.6" x14ac:dyDescent="0.3">
      <c r="B138" s="1" t="s">
        <v>135</v>
      </c>
    </row>
    <row r="139" spans="1:43" s="62" customFormat="1" x14ac:dyDescent="0.2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</row>
  </sheetData>
  <mergeCells count="42">
    <mergeCell ref="C105:D105"/>
    <mergeCell ref="B110:B112"/>
    <mergeCell ref="C110:C112"/>
    <mergeCell ref="C136:D136"/>
    <mergeCell ref="C137:D137"/>
    <mergeCell ref="B50:B52"/>
    <mergeCell ref="C50:C52"/>
    <mergeCell ref="B53:B55"/>
    <mergeCell ref="C53:C55"/>
    <mergeCell ref="C104:D104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35:D35"/>
    <mergeCell ref="C36:D36"/>
    <mergeCell ref="C37:D37"/>
    <mergeCell ref="C38:D38"/>
    <mergeCell ref="C40:D40"/>
    <mergeCell ref="E115:E134"/>
    <mergeCell ref="B2:C2"/>
    <mergeCell ref="B3:C3"/>
    <mergeCell ref="B4:C4"/>
    <mergeCell ref="A8:B8"/>
    <mergeCell ref="A7:B7"/>
    <mergeCell ref="D14:D18"/>
    <mergeCell ref="A6:D6"/>
    <mergeCell ref="A9:B9"/>
    <mergeCell ref="A20:D20"/>
    <mergeCell ref="A10:B10"/>
    <mergeCell ref="A11:B11"/>
    <mergeCell ref="A12:B12"/>
    <mergeCell ref="B47:B49"/>
    <mergeCell ref="C47:C49"/>
    <mergeCell ref="C41:D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M290"/>
  <sheetViews>
    <sheetView topLeftCell="A262" zoomScale="70" zoomScaleNormal="70" workbookViewId="0">
      <selection activeCell="E279" sqref="E279"/>
    </sheetView>
  </sheetViews>
  <sheetFormatPr defaultRowHeight="14.4" x14ac:dyDescent="0.3"/>
  <cols>
    <col min="1" max="1" width="22.88671875" customWidth="1"/>
    <col min="2" max="2" width="13.33203125" bestFit="1" customWidth="1"/>
    <col min="3" max="3" width="18" style="23" bestFit="1" customWidth="1"/>
    <col min="4" max="4" width="73.5546875" customWidth="1"/>
    <col min="5" max="5" width="26.44140625" style="34" customWidth="1"/>
    <col min="6" max="6" width="11.109375" customWidth="1"/>
    <col min="8" max="8" width="15.5546875" customWidth="1"/>
  </cols>
  <sheetData>
    <row r="1" spans="1:91" ht="16.8" x14ac:dyDescent="0.3">
      <c r="A1" s="29" t="s">
        <v>405</v>
      </c>
    </row>
    <row r="2" spans="1:91" s="34" customFormat="1" ht="16.8" x14ac:dyDescent="0.3">
      <c r="A2" s="111" t="s">
        <v>542</v>
      </c>
      <c r="B2" s="132" t="s">
        <v>543</v>
      </c>
      <c r="C2" s="133"/>
      <c r="D2" s="115" t="s">
        <v>546</v>
      </c>
      <c r="E2" s="22"/>
      <c r="F2" s="22"/>
      <c r="G2" s="22"/>
    </row>
    <row r="3" spans="1:91" s="34" customFormat="1" ht="16.8" x14ac:dyDescent="0.3">
      <c r="A3" s="99" t="s">
        <v>542</v>
      </c>
      <c r="B3" s="134" t="s">
        <v>544</v>
      </c>
      <c r="C3" s="134"/>
      <c r="D3" s="117" t="s">
        <v>547</v>
      </c>
      <c r="E3" s="22"/>
      <c r="F3" s="22"/>
      <c r="G3" s="22"/>
    </row>
    <row r="4" spans="1:91" s="34" customFormat="1" ht="16.8" x14ac:dyDescent="0.3">
      <c r="A4" s="83" t="s">
        <v>411</v>
      </c>
      <c r="B4" s="135" t="s">
        <v>541</v>
      </c>
      <c r="C4" s="136"/>
      <c r="D4" s="116" t="s">
        <v>545</v>
      </c>
      <c r="E4" s="22"/>
    </row>
    <row r="5" spans="1:91" s="22" customFormat="1" ht="16.5" customHeight="1" x14ac:dyDescent="0.3"/>
    <row r="6" spans="1:91" s="22" customFormat="1" ht="16.8" x14ac:dyDescent="0.3">
      <c r="A6" s="140" t="s">
        <v>522</v>
      </c>
      <c r="B6" s="140"/>
      <c r="C6" s="140"/>
      <c r="D6" s="140"/>
    </row>
    <row r="7" spans="1:91" s="22" customFormat="1" ht="16.8" x14ac:dyDescent="0.3">
      <c r="A7" s="138" t="s">
        <v>519</v>
      </c>
      <c r="B7" s="138"/>
      <c r="C7" s="84" t="s">
        <v>504</v>
      </c>
      <c r="D7" s="84" t="s">
        <v>520</v>
      </c>
      <c r="G7" s="22" t="s">
        <v>534</v>
      </c>
    </row>
    <row r="8" spans="1:91" s="22" customFormat="1" ht="16.8" x14ac:dyDescent="0.3">
      <c r="A8" s="137" t="s">
        <v>505</v>
      </c>
      <c r="B8" s="137"/>
      <c r="C8" s="85" t="s">
        <v>523</v>
      </c>
      <c r="D8" s="86"/>
    </row>
    <row r="9" spans="1:91" s="22" customFormat="1" ht="16.8" x14ac:dyDescent="0.3">
      <c r="A9" s="141" t="s">
        <v>410</v>
      </c>
      <c r="B9" s="141"/>
      <c r="C9" s="87">
        <v>300</v>
      </c>
      <c r="D9" s="88" t="s">
        <v>516</v>
      </c>
    </row>
    <row r="10" spans="1:91" s="34" customFormat="1" ht="16.8" x14ac:dyDescent="0.3">
      <c r="A10" s="141" t="s">
        <v>538</v>
      </c>
      <c r="B10" s="141"/>
      <c r="C10" s="89">
        <v>991061</v>
      </c>
      <c r="D10" s="90" t="s">
        <v>518</v>
      </c>
      <c r="E10" s="22"/>
    </row>
    <row r="11" spans="1:91" s="34" customFormat="1" ht="16.8" x14ac:dyDescent="0.3">
      <c r="A11" s="141" t="s">
        <v>539</v>
      </c>
      <c r="B11" s="141"/>
      <c r="C11" s="89">
        <v>191061</v>
      </c>
      <c r="D11" s="90" t="s">
        <v>517</v>
      </c>
      <c r="E11" s="22"/>
    </row>
    <row r="12" spans="1:91" s="34" customFormat="1" ht="16.8" x14ac:dyDescent="0.3">
      <c r="A12" s="47"/>
      <c r="B12" s="48"/>
      <c r="C12" s="48"/>
      <c r="D12" s="48"/>
      <c r="E12" s="22"/>
    </row>
    <row r="13" spans="1:91" s="34" customFormat="1" ht="16.8" x14ac:dyDescent="0.3">
      <c r="A13" s="47"/>
      <c r="B13" s="48"/>
      <c r="C13" s="48"/>
      <c r="D13" s="139" t="s">
        <v>521</v>
      </c>
      <c r="E13" s="89" t="str">
        <f>"//"&amp;$C$8</f>
        <v>//Khai Long WPP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1"/>
    </row>
    <row r="14" spans="1:91" s="34" customFormat="1" ht="16.8" x14ac:dyDescent="0.3">
      <c r="A14" s="47"/>
      <c r="B14" s="48"/>
      <c r="C14" s="48"/>
      <c r="D14" s="139"/>
      <c r="E14" s="89">
        <f>$C$10</f>
        <v>991061</v>
      </c>
      <c r="F14" s="93" t="s">
        <v>506</v>
      </c>
      <c r="G14" s="93">
        <v>1</v>
      </c>
      <c r="H14" s="93" t="s">
        <v>524</v>
      </c>
      <c r="I14" s="93">
        <v>101</v>
      </c>
      <c r="J14" s="93">
        <v>1</v>
      </c>
      <c r="K14" s="93">
        <v>2</v>
      </c>
      <c r="L14" s="93">
        <v>18</v>
      </c>
      <c r="M14" s="93">
        <v>3</v>
      </c>
      <c r="N14" s="93">
        <v>3</v>
      </c>
      <c r="O14" s="94">
        <f>C46</f>
        <v>200</v>
      </c>
      <c r="P14" s="95">
        <f>C47</f>
        <v>0</v>
      </c>
      <c r="Q14" s="95">
        <f t="array" ref="Q14:AH14">TRANSPOSE(C26:C43)</f>
        <v>1.5</v>
      </c>
      <c r="R14" s="96">
        <v>0.8</v>
      </c>
      <c r="S14" s="95">
        <v>0.5</v>
      </c>
      <c r="T14" s="95">
        <v>0.9</v>
      </c>
      <c r="U14" s="95">
        <v>1.22</v>
      </c>
      <c r="V14" s="95">
        <v>1.2</v>
      </c>
      <c r="W14" s="95">
        <v>2</v>
      </c>
      <c r="X14" s="95">
        <v>0.4</v>
      </c>
      <c r="Y14" s="95">
        <v>0.8</v>
      </c>
      <c r="Z14" s="95">
        <v>10</v>
      </c>
      <c r="AA14" s="95">
        <v>0.02</v>
      </c>
      <c r="AB14" s="95">
        <v>0</v>
      </c>
      <c r="AC14" s="95">
        <v>0</v>
      </c>
      <c r="AD14" s="95">
        <v>0.5</v>
      </c>
      <c r="AE14" s="95">
        <v>0.16700000000000001</v>
      </c>
      <c r="AF14" s="95">
        <v>0.9</v>
      </c>
      <c r="AG14" s="95">
        <v>0.92500000000000004</v>
      </c>
      <c r="AH14" s="95">
        <v>0</v>
      </c>
      <c r="AI14" s="97" t="s">
        <v>508</v>
      </c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</row>
    <row r="15" spans="1:91" s="34" customFormat="1" ht="16.8" x14ac:dyDescent="0.3">
      <c r="A15" s="47"/>
      <c r="B15" s="48"/>
      <c r="C15" s="48"/>
      <c r="D15" s="139"/>
      <c r="E15" s="89">
        <f t="shared" ref="E15:E19" si="0">$C$10</f>
        <v>991061</v>
      </c>
      <c r="F15" s="93" t="s">
        <v>506</v>
      </c>
      <c r="G15" s="93">
        <v>1</v>
      </c>
      <c r="H15" s="93" t="s">
        <v>525</v>
      </c>
      <c r="I15" s="93">
        <v>102</v>
      </c>
      <c r="J15" s="93">
        <v>0</v>
      </c>
      <c r="K15" s="93">
        <v>9</v>
      </c>
      <c r="L15" s="93">
        <v>67</v>
      </c>
      <c r="M15" s="93">
        <v>18</v>
      </c>
      <c r="N15" s="93">
        <v>16</v>
      </c>
      <c r="O15" s="96">
        <f>C11</f>
        <v>191061</v>
      </c>
      <c r="P15" s="93">
        <v>0</v>
      </c>
      <c r="Q15" s="93">
        <v>1</v>
      </c>
      <c r="R15" s="93">
        <v>0</v>
      </c>
      <c r="S15" s="93">
        <v>0</v>
      </c>
      <c r="T15" s="96">
        <f>C11</f>
        <v>191061</v>
      </c>
      <c r="U15" s="96">
        <f>C10</f>
        <v>991061</v>
      </c>
      <c r="V15" s="97" t="s">
        <v>530</v>
      </c>
      <c r="W15" s="93">
        <v>1</v>
      </c>
      <c r="X15" s="95">
        <f t="array" ref="X15:CL15">TRANSPOSE(C64:C130)</f>
        <v>0.15</v>
      </c>
      <c r="Y15" s="95">
        <v>18</v>
      </c>
      <c r="Z15" s="95">
        <v>5</v>
      </c>
      <c r="AA15" s="95">
        <v>0</v>
      </c>
      <c r="AB15" s="95">
        <v>0</v>
      </c>
      <c r="AC15" s="95">
        <v>0.05</v>
      </c>
      <c r="AD15" s="95">
        <v>3</v>
      </c>
      <c r="AE15" s="95">
        <v>0.85</v>
      </c>
      <c r="AF15" s="95">
        <v>1</v>
      </c>
      <c r="AG15" s="95">
        <v>0.04</v>
      </c>
      <c r="AH15" s="96">
        <v>0.29799999999999999</v>
      </c>
      <c r="AI15" s="96">
        <v>-0.29799999999999999</v>
      </c>
      <c r="AJ15" s="95">
        <v>1.1200000000000001</v>
      </c>
      <c r="AK15" s="95">
        <v>0.02</v>
      </c>
      <c r="AL15" s="95">
        <v>0.45</v>
      </c>
      <c r="AM15" s="95">
        <v>-0.45</v>
      </c>
      <c r="AN15" s="95">
        <v>60</v>
      </c>
      <c r="AO15" s="95">
        <v>0.1</v>
      </c>
      <c r="AP15" s="95">
        <v>0.9</v>
      </c>
      <c r="AQ15" s="95">
        <v>1.1000000000000001</v>
      </c>
      <c r="AR15" s="95">
        <v>40</v>
      </c>
      <c r="AS15" s="95">
        <v>0.5</v>
      </c>
      <c r="AT15" s="95">
        <v>1.45</v>
      </c>
      <c r="AU15" s="95">
        <v>0.05</v>
      </c>
      <c r="AV15" s="95">
        <v>0.05</v>
      </c>
      <c r="AW15" s="95">
        <v>1</v>
      </c>
      <c r="AX15" s="95">
        <v>0.15</v>
      </c>
      <c r="AY15" s="95">
        <v>0.96</v>
      </c>
      <c r="AZ15" s="95">
        <v>0.996</v>
      </c>
      <c r="BA15" s="95">
        <v>1.004</v>
      </c>
      <c r="BB15" s="95">
        <v>1.04</v>
      </c>
      <c r="BC15" s="95">
        <v>1</v>
      </c>
      <c r="BD15" s="95">
        <v>0.95</v>
      </c>
      <c r="BE15" s="95">
        <v>0.95</v>
      </c>
      <c r="BF15" s="95">
        <v>0.4</v>
      </c>
      <c r="BG15" s="95">
        <v>1</v>
      </c>
      <c r="BH15" s="95">
        <v>0.2</v>
      </c>
      <c r="BI15" s="95">
        <v>1</v>
      </c>
      <c r="BJ15" s="95">
        <v>0.25</v>
      </c>
      <c r="BK15" s="95">
        <v>-1</v>
      </c>
      <c r="BL15" s="98">
        <v>15</v>
      </c>
      <c r="BM15" s="98">
        <v>25</v>
      </c>
      <c r="BN15" s="98">
        <v>3</v>
      </c>
      <c r="BO15" s="95">
        <v>-0.9</v>
      </c>
      <c r="BP15" s="95">
        <v>8</v>
      </c>
      <c r="BQ15" s="95">
        <v>0.2</v>
      </c>
      <c r="BR15" s="95">
        <v>10</v>
      </c>
      <c r="BS15" s="95">
        <v>1</v>
      </c>
      <c r="BT15" s="95">
        <v>1.7</v>
      </c>
      <c r="BU15" s="95">
        <v>1.1200000000000001</v>
      </c>
      <c r="BV15" s="95">
        <v>1.25</v>
      </c>
      <c r="BW15" s="95">
        <v>5</v>
      </c>
      <c r="BX15" s="95">
        <v>0</v>
      </c>
      <c r="BY15" s="95">
        <v>0</v>
      </c>
      <c r="BZ15" s="95">
        <v>0</v>
      </c>
      <c r="CA15" s="95">
        <v>2.5000000000000001E-3</v>
      </c>
      <c r="CB15" s="95">
        <v>1</v>
      </c>
      <c r="CC15" s="95">
        <v>5.5</v>
      </c>
      <c r="CD15" s="95">
        <v>0.1</v>
      </c>
      <c r="CE15" s="95">
        <v>-1</v>
      </c>
      <c r="CF15" s="95">
        <v>0.1</v>
      </c>
      <c r="CG15" s="95">
        <v>0</v>
      </c>
      <c r="CH15" s="95">
        <v>0.1</v>
      </c>
      <c r="CI15" s="95">
        <v>-0.1</v>
      </c>
      <c r="CJ15" s="95">
        <v>0.7</v>
      </c>
      <c r="CK15" s="95">
        <v>0.12</v>
      </c>
      <c r="CL15" s="95">
        <v>-0.12</v>
      </c>
      <c r="CM15" s="93" t="s">
        <v>508</v>
      </c>
    </row>
    <row r="16" spans="1:91" s="34" customFormat="1" ht="16.8" x14ac:dyDescent="0.3">
      <c r="A16" s="47"/>
      <c r="B16" s="48"/>
      <c r="C16" s="48"/>
      <c r="D16" s="139"/>
      <c r="E16" s="89">
        <f t="shared" si="0"/>
        <v>991061</v>
      </c>
      <c r="F16" s="93" t="s">
        <v>506</v>
      </c>
      <c r="G16" s="93">
        <v>1</v>
      </c>
      <c r="H16" s="93" t="s">
        <v>526</v>
      </c>
      <c r="I16" s="93">
        <v>103</v>
      </c>
      <c r="J16" s="93">
        <v>0</v>
      </c>
      <c r="K16" s="93">
        <v>1</v>
      </c>
      <c r="L16" s="93">
        <v>5</v>
      </c>
      <c r="M16" s="93">
        <v>4</v>
      </c>
      <c r="N16" s="93">
        <v>3</v>
      </c>
      <c r="O16" s="93">
        <v>0</v>
      </c>
      <c r="P16" s="94">
        <f t="array" ref="P16:T16">TRANSPOSE(C189:C193)</f>
        <v>9</v>
      </c>
      <c r="Q16" s="95">
        <v>0</v>
      </c>
      <c r="R16" s="95">
        <v>0</v>
      </c>
      <c r="S16" s="95">
        <v>1.246</v>
      </c>
      <c r="T16" s="95">
        <v>1.5</v>
      </c>
      <c r="U16" s="97" t="s">
        <v>508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</row>
    <row r="17" spans="1:91" s="34" customFormat="1" ht="16.8" x14ac:dyDescent="0.3">
      <c r="A17" s="47"/>
      <c r="B17" s="48"/>
      <c r="C17" s="48"/>
      <c r="D17" s="139"/>
      <c r="E17" s="89">
        <f t="shared" si="0"/>
        <v>991061</v>
      </c>
      <c r="F17" s="93" t="s">
        <v>506</v>
      </c>
      <c r="G17" s="93">
        <v>1</v>
      </c>
      <c r="H17" s="93" t="s">
        <v>527</v>
      </c>
      <c r="I17" s="93">
        <v>104</v>
      </c>
      <c r="J17" s="93">
        <v>0</v>
      </c>
      <c r="K17" s="93">
        <v>2</v>
      </c>
      <c r="L17" s="93">
        <v>10</v>
      </c>
      <c r="M17" s="93">
        <v>3</v>
      </c>
      <c r="N17" s="93">
        <v>3</v>
      </c>
      <c r="O17" s="93">
        <v>0</v>
      </c>
      <c r="P17" s="93">
        <v>0</v>
      </c>
      <c r="Q17" s="95">
        <f t="array" ref="Q17:Z17">TRANSPOSE(C213:C222)</f>
        <v>0.3</v>
      </c>
      <c r="R17" s="95">
        <v>150</v>
      </c>
      <c r="S17" s="95">
        <v>25</v>
      </c>
      <c r="T17" s="95">
        <v>3</v>
      </c>
      <c r="U17" s="95">
        <v>30</v>
      </c>
      <c r="V17" s="95">
        <v>-4</v>
      </c>
      <c r="W17" s="95">
        <v>27</v>
      </c>
      <c r="X17" s="95">
        <v>-10</v>
      </c>
      <c r="Y17" s="95">
        <v>10</v>
      </c>
      <c r="Z17" s="95">
        <v>1</v>
      </c>
      <c r="AA17" s="97" t="s">
        <v>508</v>
      </c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</row>
    <row r="18" spans="1:91" s="34" customFormat="1" ht="16.8" x14ac:dyDescent="0.3">
      <c r="A18" s="47"/>
      <c r="B18" s="48"/>
      <c r="C18" s="48"/>
      <c r="D18" s="139"/>
      <c r="E18" s="89">
        <f t="shared" si="0"/>
        <v>991061</v>
      </c>
      <c r="F18" s="93" t="s">
        <v>506</v>
      </c>
      <c r="G18" s="93">
        <v>1</v>
      </c>
      <c r="H18" s="93" t="s">
        <v>528</v>
      </c>
      <c r="I18" s="93">
        <v>105</v>
      </c>
      <c r="J18" s="93">
        <v>0</v>
      </c>
      <c r="K18" s="93">
        <v>1</v>
      </c>
      <c r="L18" s="93">
        <v>9</v>
      </c>
      <c r="M18" s="93">
        <v>1</v>
      </c>
      <c r="N18" s="93">
        <v>4</v>
      </c>
      <c r="O18" s="93">
        <v>0</v>
      </c>
      <c r="P18" s="95">
        <f t="array" ref="P18:X18">TRANSPOSE(C241:C249)</f>
        <v>20</v>
      </c>
      <c r="Q18" s="95">
        <v>0</v>
      </c>
      <c r="R18" s="95">
        <v>27</v>
      </c>
      <c r="S18" s="95">
        <v>-4</v>
      </c>
      <c r="T18" s="95">
        <v>0</v>
      </c>
      <c r="U18" s="96">
        <v>1.2250000000000001</v>
      </c>
      <c r="V18" s="96">
        <v>35.25</v>
      </c>
      <c r="W18" s="96">
        <v>72</v>
      </c>
      <c r="X18" s="96">
        <v>1200</v>
      </c>
      <c r="Y18" s="97" t="s">
        <v>508</v>
      </c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</row>
    <row r="19" spans="1:91" s="34" customFormat="1" ht="16.8" x14ac:dyDescent="0.3">
      <c r="A19" s="47"/>
      <c r="B19" s="48"/>
      <c r="C19" s="48"/>
      <c r="D19" s="139"/>
      <c r="E19" s="89">
        <f t="shared" si="0"/>
        <v>991061</v>
      </c>
      <c r="F19" s="93" t="s">
        <v>506</v>
      </c>
      <c r="G19" s="93">
        <v>1</v>
      </c>
      <c r="H19" s="93" t="s">
        <v>529</v>
      </c>
      <c r="I19" s="93">
        <v>106</v>
      </c>
      <c r="J19" s="93">
        <v>0</v>
      </c>
      <c r="K19" s="93">
        <v>1</v>
      </c>
      <c r="L19" s="93">
        <v>6</v>
      </c>
      <c r="M19" s="93">
        <v>0</v>
      </c>
      <c r="N19" s="93">
        <v>4</v>
      </c>
      <c r="O19" s="93">
        <v>0</v>
      </c>
      <c r="P19" s="94">
        <f t="array" ref="P19:U19">TRANSPOSE(C266:C271)</f>
        <v>25</v>
      </c>
      <c r="Q19" s="94">
        <v>60</v>
      </c>
      <c r="R19" s="94">
        <v>12</v>
      </c>
      <c r="S19" s="94">
        <v>8</v>
      </c>
      <c r="T19" s="94">
        <v>13</v>
      </c>
      <c r="U19" s="94">
        <v>-12</v>
      </c>
      <c r="V19" s="97" t="s">
        <v>508</v>
      </c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</row>
    <row r="20" spans="1:91" s="22" customFormat="1" ht="16.5" customHeight="1" x14ac:dyDescent="0.3"/>
    <row r="21" spans="1:91" s="20" customFormat="1" ht="16.95" customHeight="1" x14ac:dyDescent="0.4">
      <c r="A21" s="142" t="s">
        <v>514</v>
      </c>
      <c r="B21" s="142"/>
      <c r="C21" s="142"/>
      <c r="D21" s="142"/>
    </row>
    <row r="22" spans="1:91" s="22" customFormat="1" ht="16.5" customHeight="1" x14ac:dyDescent="0.3"/>
    <row r="23" spans="1:91" ht="16.2" x14ac:dyDescent="0.35">
      <c r="A23" s="5" t="s">
        <v>137</v>
      </c>
      <c r="B23" s="35"/>
      <c r="C23" s="36"/>
      <c r="D23" s="35"/>
    </row>
    <row r="24" spans="1:91" x14ac:dyDescent="0.3">
      <c r="B24" s="40" t="s">
        <v>138</v>
      </c>
    </row>
    <row r="25" spans="1:91" ht="15" x14ac:dyDescent="0.3">
      <c r="B25" s="38" t="s">
        <v>2</v>
      </c>
      <c r="C25" s="39" t="s">
        <v>3</v>
      </c>
      <c r="D25" s="38" t="s">
        <v>4</v>
      </c>
      <c r="E25" s="42" t="s">
        <v>552</v>
      </c>
      <c r="F25" s="51" t="s">
        <v>161</v>
      </c>
    </row>
    <row r="26" spans="1:91" ht="30" x14ac:dyDescent="0.3">
      <c r="B26" s="72" t="s">
        <v>5</v>
      </c>
      <c r="C26" s="46">
        <v>1.5</v>
      </c>
      <c r="D26" s="72" t="s">
        <v>414</v>
      </c>
      <c r="E26" s="25" t="s">
        <v>562</v>
      </c>
    </row>
    <row r="27" spans="1:91" ht="30" x14ac:dyDescent="0.3">
      <c r="B27" s="72" t="s">
        <v>7</v>
      </c>
      <c r="C27" s="45">
        <v>0.8</v>
      </c>
      <c r="D27" s="72" t="s">
        <v>415</v>
      </c>
      <c r="E27" s="25" t="s">
        <v>563</v>
      </c>
      <c r="F27" s="21" t="s">
        <v>484</v>
      </c>
    </row>
    <row r="28" spans="1:91" ht="16.2" x14ac:dyDescent="0.3">
      <c r="B28" s="72" t="s">
        <v>9</v>
      </c>
      <c r="C28" s="46">
        <v>0.5</v>
      </c>
      <c r="D28" s="72" t="s">
        <v>416</v>
      </c>
      <c r="E28" s="119"/>
      <c r="F28" s="21" t="s">
        <v>483</v>
      </c>
    </row>
    <row r="29" spans="1:91" ht="16.2" x14ac:dyDescent="0.3">
      <c r="B29" s="72" t="s">
        <v>11</v>
      </c>
      <c r="C29" s="46">
        <v>0.9</v>
      </c>
      <c r="D29" s="72" t="s">
        <v>417</v>
      </c>
      <c r="E29" s="119"/>
      <c r="F29" s="51" t="s">
        <v>378</v>
      </c>
    </row>
    <row r="30" spans="1:91" ht="16.2" x14ac:dyDescent="0.3">
      <c r="B30" s="72" t="s">
        <v>13</v>
      </c>
      <c r="C30" s="46">
        <v>1.22</v>
      </c>
      <c r="D30" s="72" t="s">
        <v>418</v>
      </c>
      <c r="E30" s="119"/>
      <c r="F30" s="51" t="s">
        <v>379</v>
      </c>
    </row>
    <row r="31" spans="1:91" ht="15" x14ac:dyDescent="0.3">
      <c r="B31" s="72" t="s">
        <v>15</v>
      </c>
      <c r="C31" s="46">
        <v>1.2</v>
      </c>
      <c r="D31" s="72" t="s">
        <v>156</v>
      </c>
      <c r="E31" s="119"/>
    </row>
    <row r="32" spans="1:91" ht="16.2" x14ac:dyDescent="0.3">
      <c r="B32" s="72" t="s">
        <v>17</v>
      </c>
      <c r="C32" s="46">
        <v>2</v>
      </c>
      <c r="D32" s="72" t="s">
        <v>419</v>
      </c>
      <c r="E32" s="119"/>
    </row>
    <row r="33" spans="2:17" ht="16.2" x14ac:dyDescent="0.35">
      <c r="B33" s="72" t="s">
        <v>19</v>
      </c>
      <c r="C33" s="46">
        <v>0.4</v>
      </c>
      <c r="D33" s="72" t="s">
        <v>420</v>
      </c>
      <c r="E33" s="119"/>
      <c r="F33" s="30" t="s">
        <v>408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2:17" ht="15" x14ac:dyDescent="0.3">
      <c r="B34" s="72" t="s">
        <v>21</v>
      </c>
      <c r="C34" s="46">
        <v>0.8</v>
      </c>
      <c r="D34" s="72" t="s">
        <v>139</v>
      </c>
      <c r="E34" s="119"/>
      <c r="F34" s="33" t="s">
        <v>406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</row>
    <row r="35" spans="2:17" ht="15" x14ac:dyDescent="0.3">
      <c r="B35" s="72" t="s">
        <v>53</v>
      </c>
      <c r="C35" s="46">
        <v>10</v>
      </c>
      <c r="D35" s="72" t="s">
        <v>140</v>
      </c>
      <c r="E35" s="119"/>
      <c r="F35" s="33" t="s">
        <v>407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</row>
    <row r="36" spans="2:17" ht="15" x14ac:dyDescent="0.3">
      <c r="B36" s="72" t="s">
        <v>55</v>
      </c>
      <c r="C36" s="46">
        <v>0.02</v>
      </c>
      <c r="D36" s="72" t="s">
        <v>22</v>
      </c>
      <c r="E36" s="119"/>
    </row>
    <row r="37" spans="2:17" ht="15" x14ac:dyDescent="0.3">
      <c r="B37" s="72" t="s">
        <v>57</v>
      </c>
      <c r="C37" s="46">
        <v>0</v>
      </c>
      <c r="D37" s="72" t="s">
        <v>141</v>
      </c>
      <c r="E37" s="119"/>
    </row>
    <row r="38" spans="2:17" ht="15" x14ac:dyDescent="0.3">
      <c r="B38" s="72" t="s">
        <v>59</v>
      </c>
      <c r="C38" s="46">
        <v>0</v>
      </c>
      <c r="D38" s="72" t="s">
        <v>142</v>
      </c>
      <c r="E38" s="119"/>
    </row>
    <row r="39" spans="2:17" ht="15" x14ac:dyDescent="0.3">
      <c r="B39" s="72" t="s">
        <v>61</v>
      </c>
      <c r="C39" s="46">
        <v>0.5</v>
      </c>
      <c r="D39" s="72" t="s">
        <v>143</v>
      </c>
      <c r="E39" s="119"/>
    </row>
    <row r="40" spans="2:17" ht="15" x14ac:dyDescent="0.3">
      <c r="B40" s="72" t="s">
        <v>63</v>
      </c>
      <c r="C40" s="46">
        <v>0.16700000000000001</v>
      </c>
      <c r="D40" s="72" t="s">
        <v>144</v>
      </c>
      <c r="E40" s="119"/>
    </row>
    <row r="41" spans="2:17" ht="15" x14ac:dyDescent="0.3">
      <c r="B41" s="72" t="s">
        <v>65</v>
      </c>
      <c r="C41" s="46">
        <v>0.9</v>
      </c>
      <c r="D41" s="72" t="s">
        <v>145</v>
      </c>
      <c r="E41" s="119"/>
    </row>
    <row r="42" spans="2:17" ht="15" x14ac:dyDescent="0.3">
      <c r="B42" s="72" t="s">
        <v>67</v>
      </c>
      <c r="C42" s="46">
        <v>0.92500000000000004</v>
      </c>
      <c r="D42" s="72" t="s">
        <v>146</v>
      </c>
      <c r="E42" s="119"/>
    </row>
    <row r="43" spans="2:17" ht="15" x14ac:dyDescent="0.3">
      <c r="B43" s="72" t="s">
        <v>69</v>
      </c>
      <c r="C43" s="46">
        <v>0</v>
      </c>
      <c r="D43" s="72" t="s">
        <v>147</v>
      </c>
      <c r="E43" s="119"/>
    </row>
    <row r="44" spans="2:17" ht="15" x14ac:dyDescent="0.3">
      <c r="B44" s="73"/>
      <c r="C44" s="24"/>
      <c r="D44" s="73"/>
    </row>
    <row r="45" spans="2:17" ht="15" x14ac:dyDescent="0.3">
      <c r="B45" s="74" t="s">
        <v>113</v>
      </c>
      <c r="C45" s="42" t="s">
        <v>3</v>
      </c>
      <c r="D45" s="74" t="s">
        <v>4</v>
      </c>
      <c r="E45" s="42" t="s">
        <v>552</v>
      </c>
    </row>
    <row r="46" spans="2:17" ht="45" x14ac:dyDescent="0.3">
      <c r="B46" s="75" t="s">
        <v>37</v>
      </c>
      <c r="C46" s="45">
        <f>ROUNDUP(C9/C26,0)</f>
        <v>200</v>
      </c>
      <c r="D46" s="75" t="s">
        <v>148</v>
      </c>
      <c r="E46" s="25" t="s">
        <v>564</v>
      </c>
    </row>
    <row r="47" spans="2:17" ht="15" x14ac:dyDescent="0.3">
      <c r="B47" s="155" t="s">
        <v>39</v>
      </c>
      <c r="C47" s="156">
        <v>0</v>
      </c>
      <c r="D47" s="75" t="s">
        <v>149</v>
      </c>
      <c r="E47" s="119"/>
    </row>
    <row r="48" spans="2:17" ht="15" x14ac:dyDescent="0.3">
      <c r="B48" s="155"/>
      <c r="C48" s="157"/>
      <c r="D48" s="77" t="s">
        <v>157</v>
      </c>
      <c r="E48" s="119"/>
    </row>
    <row r="49" spans="1:6" ht="15" x14ac:dyDescent="0.3">
      <c r="B49" s="155"/>
      <c r="C49" s="158"/>
      <c r="D49" s="77" t="s">
        <v>158</v>
      </c>
      <c r="E49" s="119"/>
    </row>
    <row r="50" spans="1:6" ht="15" x14ac:dyDescent="0.3">
      <c r="B50" s="17"/>
      <c r="C50" s="24"/>
      <c r="D50" s="17"/>
    </row>
    <row r="51" spans="1:6" ht="15" x14ac:dyDescent="0.3">
      <c r="B51" s="43" t="s">
        <v>150</v>
      </c>
      <c r="C51" s="154" t="s">
        <v>4</v>
      </c>
      <c r="D51" s="154"/>
    </row>
    <row r="52" spans="1:6" ht="15" x14ac:dyDescent="0.3">
      <c r="B52" s="9" t="s">
        <v>25</v>
      </c>
      <c r="C52" s="146" t="s">
        <v>26</v>
      </c>
      <c r="D52" s="146"/>
    </row>
    <row r="53" spans="1:6" ht="15" x14ac:dyDescent="0.3">
      <c r="B53" s="9" t="s">
        <v>27</v>
      </c>
      <c r="C53" s="146" t="s">
        <v>151</v>
      </c>
      <c r="D53" s="146"/>
    </row>
    <row r="54" spans="1:6" ht="15" x14ac:dyDescent="0.3">
      <c r="B54" s="9" t="s">
        <v>29</v>
      </c>
      <c r="C54" s="146" t="s">
        <v>152</v>
      </c>
      <c r="D54" s="146"/>
    </row>
    <row r="55" spans="1:6" ht="15" x14ac:dyDescent="0.3">
      <c r="B55" s="17"/>
      <c r="C55" s="24"/>
      <c r="D55" s="17"/>
    </row>
    <row r="56" spans="1:6" ht="15" x14ac:dyDescent="0.3">
      <c r="B56" s="43" t="s">
        <v>31</v>
      </c>
      <c r="C56" s="154" t="s">
        <v>4</v>
      </c>
      <c r="D56" s="154"/>
    </row>
    <row r="57" spans="1:6" ht="15" x14ac:dyDescent="0.3">
      <c r="B57" s="9" t="s">
        <v>108</v>
      </c>
      <c r="C57" s="146" t="s">
        <v>159</v>
      </c>
      <c r="D57" s="146"/>
    </row>
    <row r="58" spans="1:6" ht="15" x14ac:dyDescent="0.3">
      <c r="B58" s="9" t="s">
        <v>153</v>
      </c>
      <c r="C58" s="146" t="s">
        <v>160</v>
      </c>
      <c r="D58" s="146"/>
    </row>
    <row r="59" spans="1:6" ht="15" x14ac:dyDescent="0.3">
      <c r="B59" s="9" t="s">
        <v>154</v>
      </c>
      <c r="C59" s="146" t="s">
        <v>155</v>
      </c>
      <c r="D59" s="146"/>
    </row>
    <row r="60" spans="1:6" s="20" customFormat="1" x14ac:dyDescent="0.3">
      <c r="C60" s="26"/>
    </row>
    <row r="61" spans="1:6" ht="16.2" x14ac:dyDescent="0.35">
      <c r="A61" s="5" t="s">
        <v>162</v>
      </c>
    </row>
    <row r="62" spans="1:6" x14ac:dyDescent="0.3">
      <c r="B62" s="40" t="s">
        <v>163</v>
      </c>
    </row>
    <row r="63" spans="1:6" ht="15" x14ac:dyDescent="0.3">
      <c r="B63" s="41" t="s">
        <v>2</v>
      </c>
      <c r="C63" s="42" t="s">
        <v>3</v>
      </c>
      <c r="D63" s="41" t="s">
        <v>4</v>
      </c>
      <c r="E63" s="42" t="s">
        <v>552</v>
      </c>
      <c r="F63" s="51" t="s">
        <v>274</v>
      </c>
    </row>
    <row r="64" spans="1:6" ht="16.2" x14ac:dyDescent="0.3">
      <c r="B64" s="75" t="s">
        <v>5</v>
      </c>
      <c r="C64" s="49">
        <v>0.15</v>
      </c>
      <c r="D64" s="75" t="s">
        <v>275</v>
      </c>
      <c r="E64" s="119"/>
    </row>
    <row r="65" spans="2:6" ht="16.2" x14ac:dyDescent="0.3">
      <c r="B65" s="75" t="s">
        <v>7</v>
      </c>
      <c r="C65" s="49">
        <v>18</v>
      </c>
      <c r="D65" s="75" t="s">
        <v>276</v>
      </c>
      <c r="E65" s="119"/>
      <c r="F65" s="15" t="s">
        <v>485</v>
      </c>
    </row>
    <row r="66" spans="2:6" ht="16.2" x14ac:dyDescent="0.3">
      <c r="B66" s="75" t="s">
        <v>9</v>
      </c>
      <c r="C66" s="49">
        <v>5</v>
      </c>
      <c r="D66" s="75" t="s">
        <v>277</v>
      </c>
      <c r="E66" s="119"/>
      <c r="F66" s="15" t="s">
        <v>486</v>
      </c>
    </row>
    <row r="67" spans="2:6" ht="16.2" x14ac:dyDescent="0.3">
      <c r="B67" s="75" t="s">
        <v>11</v>
      </c>
      <c r="C67" s="49">
        <v>0</v>
      </c>
      <c r="D67" s="75" t="s">
        <v>278</v>
      </c>
      <c r="E67" s="119"/>
      <c r="F67" s="51" t="s">
        <v>380</v>
      </c>
    </row>
    <row r="68" spans="2:6" ht="16.2" x14ac:dyDescent="0.3">
      <c r="B68" s="75" t="s">
        <v>13</v>
      </c>
      <c r="C68" s="49">
        <v>0</v>
      </c>
      <c r="D68" s="75" t="s">
        <v>279</v>
      </c>
      <c r="E68" s="119"/>
      <c r="F68" s="51" t="s">
        <v>381</v>
      </c>
    </row>
    <row r="69" spans="2:6" ht="16.2" x14ac:dyDescent="0.3">
      <c r="B69" s="75" t="s">
        <v>15</v>
      </c>
      <c r="C69" s="49">
        <v>0.05</v>
      </c>
      <c r="D69" s="75" t="s">
        <v>280</v>
      </c>
      <c r="E69" s="119"/>
      <c r="F69" s="51" t="s">
        <v>382</v>
      </c>
    </row>
    <row r="70" spans="2:6" ht="16.2" x14ac:dyDescent="0.3">
      <c r="B70" s="75" t="s">
        <v>17</v>
      </c>
      <c r="C70" s="49">
        <v>3</v>
      </c>
      <c r="D70" s="75" t="s">
        <v>281</v>
      </c>
      <c r="E70" s="119"/>
      <c r="F70" s="51" t="s">
        <v>383</v>
      </c>
    </row>
    <row r="71" spans="2:6" ht="16.2" x14ac:dyDescent="0.3">
      <c r="B71" s="75" t="s">
        <v>19</v>
      </c>
      <c r="C71" s="49">
        <v>0.85</v>
      </c>
      <c r="D71" s="75" t="s">
        <v>282</v>
      </c>
      <c r="E71" s="119"/>
      <c r="F71" s="51" t="s">
        <v>384</v>
      </c>
    </row>
    <row r="72" spans="2:6" ht="16.2" x14ac:dyDescent="0.3">
      <c r="B72" s="75" t="s">
        <v>21</v>
      </c>
      <c r="C72" s="49">
        <v>1</v>
      </c>
      <c r="D72" s="75" t="s">
        <v>283</v>
      </c>
      <c r="E72" s="119"/>
      <c r="F72" s="51" t="s">
        <v>385</v>
      </c>
    </row>
    <row r="73" spans="2:6" ht="16.2" x14ac:dyDescent="0.3">
      <c r="B73" s="75" t="s">
        <v>53</v>
      </c>
      <c r="C73" s="49">
        <v>0.04</v>
      </c>
      <c r="D73" s="75" t="s">
        <v>284</v>
      </c>
      <c r="E73" s="119"/>
      <c r="F73" s="51" t="s">
        <v>386</v>
      </c>
    </row>
    <row r="74" spans="2:6" ht="31.2" customHeight="1" x14ac:dyDescent="0.3">
      <c r="B74" s="75" t="s">
        <v>55</v>
      </c>
      <c r="C74" s="45">
        <v>0.29799999999999999</v>
      </c>
      <c r="D74" s="75" t="s">
        <v>285</v>
      </c>
      <c r="E74" s="149" t="s">
        <v>565</v>
      </c>
      <c r="F74" s="51" t="s">
        <v>387</v>
      </c>
    </row>
    <row r="75" spans="2:6" ht="31.2" customHeight="1" x14ac:dyDescent="0.3">
      <c r="B75" s="75" t="s">
        <v>57</v>
      </c>
      <c r="C75" s="45">
        <v>-0.29799999999999999</v>
      </c>
      <c r="D75" s="75" t="s">
        <v>286</v>
      </c>
      <c r="E75" s="150"/>
      <c r="F75" s="15" t="s">
        <v>487</v>
      </c>
    </row>
    <row r="76" spans="2:6" ht="16.2" x14ac:dyDescent="0.3">
      <c r="B76" s="75" t="s">
        <v>59</v>
      </c>
      <c r="C76" s="49">
        <v>1.1200000000000001</v>
      </c>
      <c r="D76" s="75" t="s">
        <v>287</v>
      </c>
      <c r="E76" s="119"/>
      <c r="F76" s="51" t="s">
        <v>388</v>
      </c>
    </row>
    <row r="77" spans="2:6" ht="16.2" x14ac:dyDescent="0.3">
      <c r="B77" s="75" t="s">
        <v>61</v>
      </c>
      <c r="C77" s="49">
        <v>0.02</v>
      </c>
      <c r="D77" s="75" t="s">
        <v>288</v>
      </c>
      <c r="E77" s="119"/>
      <c r="F77" s="51" t="s">
        <v>389</v>
      </c>
    </row>
    <row r="78" spans="2:6" ht="16.2" x14ac:dyDescent="0.3">
      <c r="B78" s="75" t="s">
        <v>63</v>
      </c>
      <c r="C78" s="49">
        <v>0.45</v>
      </c>
      <c r="D78" s="75" t="s">
        <v>289</v>
      </c>
      <c r="E78" s="119"/>
      <c r="F78" s="51" t="s">
        <v>390</v>
      </c>
    </row>
    <row r="79" spans="2:6" ht="16.2" x14ac:dyDescent="0.3">
      <c r="B79" s="75" t="s">
        <v>65</v>
      </c>
      <c r="C79" s="49">
        <v>-0.45</v>
      </c>
      <c r="D79" s="75" t="s">
        <v>290</v>
      </c>
      <c r="E79" s="119"/>
      <c r="F79" s="51" t="s">
        <v>391</v>
      </c>
    </row>
    <row r="80" spans="2:6" ht="16.2" x14ac:dyDescent="0.3">
      <c r="B80" s="75" t="s">
        <v>67</v>
      </c>
      <c r="C80" s="49">
        <v>60</v>
      </c>
      <c r="D80" s="75" t="s">
        <v>291</v>
      </c>
      <c r="E80" s="119"/>
      <c r="F80" s="51" t="s">
        <v>392</v>
      </c>
    </row>
    <row r="81" spans="2:6" ht="16.2" x14ac:dyDescent="0.3">
      <c r="B81" s="75" t="s">
        <v>69</v>
      </c>
      <c r="C81" s="49">
        <v>0.1</v>
      </c>
      <c r="D81" s="75" t="s">
        <v>292</v>
      </c>
      <c r="E81" s="119"/>
      <c r="F81" s="15"/>
    </row>
    <row r="82" spans="2:6" ht="16.2" x14ac:dyDescent="0.3">
      <c r="B82" s="75" t="s">
        <v>71</v>
      </c>
      <c r="C82" s="49">
        <v>0.9</v>
      </c>
      <c r="D82" s="75" t="s">
        <v>293</v>
      </c>
      <c r="E82" s="119"/>
    </row>
    <row r="83" spans="2:6" ht="16.2" x14ac:dyDescent="0.3">
      <c r="B83" s="75" t="s">
        <v>73</v>
      </c>
      <c r="C83" s="49">
        <v>1.1000000000000001</v>
      </c>
      <c r="D83" s="75" t="s">
        <v>294</v>
      </c>
      <c r="E83" s="119"/>
    </row>
    <row r="84" spans="2:6" ht="16.2" x14ac:dyDescent="0.3">
      <c r="B84" s="75" t="s">
        <v>75</v>
      </c>
      <c r="C84" s="49">
        <v>40</v>
      </c>
      <c r="D84" s="75" t="s">
        <v>295</v>
      </c>
      <c r="E84" s="119"/>
    </row>
    <row r="85" spans="2:6" ht="16.2" x14ac:dyDescent="0.3">
      <c r="B85" s="75" t="s">
        <v>77</v>
      </c>
      <c r="C85" s="49">
        <v>0.5</v>
      </c>
      <c r="D85" s="75" t="s">
        <v>296</v>
      </c>
      <c r="E85" s="119"/>
    </row>
    <row r="86" spans="2:6" ht="16.2" x14ac:dyDescent="0.3">
      <c r="B86" s="75" t="s">
        <v>79</v>
      </c>
      <c r="C86" s="49">
        <v>1.45</v>
      </c>
      <c r="D86" s="75" t="s">
        <v>297</v>
      </c>
      <c r="E86" s="119"/>
    </row>
    <row r="87" spans="2:6" ht="16.2" x14ac:dyDescent="0.3">
      <c r="B87" s="75" t="s">
        <v>81</v>
      </c>
      <c r="C87" s="49">
        <v>0.05</v>
      </c>
      <c r="D87" s="75" t="s">
        <v>298</v>
      </c>
      <c r="E87" s="119"/>
    </row>
    <row r="88" spans="2:6" ht="16.2" x14ac:dyDescent="0.3">
      <c r="B88" s="75" t="s">
        <v>164</v>
      </c>
      <c r="C88" s="49">
        <v>0.05</v>
      </c>
      <c r="D88" s="75" t="s">
        <v>299</v>
      </c>
      <c r="E88" s="119"/>
    </row>
    <row r="89" spans="2:6" ht="16.2" x14ac:dyDescent="0.3">
      <c r="B89" s="75" t="s">
        <v>165</v>
      </c>
      <c r="C89" s="49">
        <v>1</v>
      </c>
      <c r="D89" s="75" t="s">
        <v>300</v>
      </c>
      <c r="E89" s="119"/>
    </row>
    <row r="90" spans="2:6" ht="16.2" x14ac:dyDescent="0.3">
      <c r="B90" s="75" t="s">
        <v>166</v>
      </c>
      <c r="C90" s="49">
        <v>0.15</v>
      </c>
      <c r="D90" s="75" t="s">
        <v>301</v>
      </c>
      <c r="E90" s="119"/>
    </row>
    <row r="91" spans="2:6" ht="16.2" x14ac:dyDescent="0.3">
      <c r="B91" s="75" t="s">
        <v>167</v>
      </c>
      <c r="C91" s="49">
        <v>0.96</v>
      </c>
      <c r="D91" s="75" t="s">
        <v>302</v>
      </c>
      <c r="E91" s="119"/>
    </row>
    <row r="92" spans="2:6" ht="16.2" x14ac:dyDescent="0.3">
      <c r="B92" s="75" t="s">
        <v>168</v>
      </c>
      <c r="C92" s="49">
        <v>0.996</v>
      </c>
      <c r="D92" s="75" t="s">
        <v>303</v>
      </c>
      <c r="E92" s="119"/>
    </row>
    <row r="93" spans="2:6" ht="16.2" x14ac:dyDescent="0.3">
      <c r="B93" s="75" t="s">
        <v>169</v>
      </c>
      <c r="C93" s="49">
        <v>1.004</v>
      </c>
      <c r="D93" s="75" t="s">
        <v>304</v>
      </c>
      <c r="E93" s="119"/>
    </row>
    <row r="94" spans="2:6" ht="16.2" x14ac:dyDescent="0.3">
      <c r="B94" s="75" t="s">
        <v>170</v>
      </c>
      <c r="C94" s="49">
        <v>1.04</v>
      </c>
      <c r="D94" s="75" t="s">
        <v>305</v>
      </c>
      <c r="E94" s="119"/>
    </row>
    <row r="95" spans="2:6" ht="16.2" x14ac:dyDescent="0.3">
      <c r="B95" s="75" t="s">
        <v>171</v>
      </c>
      <c r="C95" s="49">
        <v>1</v>
      </c>
      <c r="D95" s="75" t="s">
        <v>306</v>
      </c>
      <c r="E95" s="119"/>
    </row>
    <row r="96" spans="2:6" ht="16.2" x14ac:dyDescent="0.3">
      <c r="B96" s="75" t="s">
        <v>172</v>
      </c>
      <c r="C96" s="49">
        <v>0.95</v>
      </c>
      <c r="D96" s="75" t="s">
        <v>307</v>
      </c>
      <c r="E96" s="119"/>
    </row>
    <row r="97" spans="2:5" ht="16.2" x14ac:dyDescent="0.3">
      <c r="B97" s="75" t="s">
        <v>173</v>
      </c>
      <c r="C97" s="49">
        <v>0.95</v>
      </c>
      <c r="D97" s="75" t="s">
        <v>308</v>
      </c>
      <c r="E97" s="119"/>
    </row>
    <row r="98" spans="2:5" ht="16.2" x14ac:dyDescent="0.3">
      <c r="B98" s="75" t="s">
        <v>174</v>
      </c>
      <c r="C98" s="49">
        <v>0.4</v>
      </c>
      <c r="D98" s="75" t="s">
        <v>309</v>
      </c>
      <c r="E98" s="119"/>
    </row>
    <row r="99" spans="2:5" ht="16.2" x14ac:dyDescent="0.3">
      <c r="B99" s="75" t="s">
        <v>175</v>
      </c>
      <c r="C99" s="49">
        <v>1</v>
      </c>
      <c r="D99" s="75" t="s">
        <v>310</v>
      </c>
      <c r="E99" s="119"/>
    </row>
    <row r="100" spans="2:5" ht="16.2" x14ac:dyDescent="0.3">
      <c r="B100" s="75" t="s">
        <v>176</v>
      </c>
      <c r="C100" s="49">
        <v>0.2</v>
      </c>
      <c r="D100" s="75" t="s">
        <v>311</v>
      </c>
      <c r="E100" s="119"/>
    </row>
    <row r="101" spans="2:5" ht="16.2" x14ac:dyDescent="0.3">
      <c r="B101" s="75" t="s">
        <v>177</v>
      </c>
      <c r="C101" s="49">
        <v>1</v>
      </c>
      <c r="D101" s="75" t="s">
        <v>312</v>
      </c>
      <c r="E101" s="119"/>
    </row>
    <row r="102" spans="2:5" ht="16.2" x14ac:dyDescent="0.3">
      <c r="B102" s="75" t="s">
        <v>178</v>
      </c>
      <c r="C102" s="49">
        <v>0.25</v>
      </c>
      <c r="D102" s="75" t="s">
        <v>313</v>
      </c>
      <c r="E102" s="119"/>
    </row>
    <row r="103" spans="2:5" ht="16.2" x14ac:dyDescent="0.3">
      <c r="B103" s="75" t="s">
        <v>179</v>
      </c>
      <c r="C103" s="49">
        <v>-1</v>
      </c>
      <c r="D103" s="75" t="s">
        <v>314</v>
      </c>
      <c r="E103" s="119"/>
    </row>
    <row r="104" spans="2:5" ht="30" x14ac:dyDescent="0.3">
      <c r="B104" s="78" t="s">
        <v>180</v>
      </c>
      <c r="C104" s="52">
        <v>15</v>
      </c>
      <c r="D104" s="78" t="s">
        <v>403</v>
      </c>
      <c r="E104" s="25" t="s">
        <v>568</v>
      </c>
    </row>
    <row r="105" spans="2:5" ht="45" x14ac:dyDescent="0.3">
      <c r="B105" s="78" t="s">
        <v>181</v>
      </c>
      <c r="C105" s="52">
        <v>25</v>
      </c>
      <c r="D105" s="78" t="s">
        <v>438</v>
      </c>
      <c r="E105" s="25" t="s">
        <v>566</v>
      </c>
    </row>
    <row r="106" spans="2:5" ht="45" x14ac:dyDescent="0.3">
      <c r="B106" s="78" t="s">
        <v>182</v>
      </c>
      <c r="C106" s="52">
        <v>3</v>
      </c>
      <c r="D106" s="78" t="s">
        <v>439</v>
      </c>
      <c r="E106" s="25" t="s">
        <v>567</v>
      </c>
    </row>
    <row r="107" spans="2:5" ht="16.2" x14ac:dyDescent="0.3">
      <c r="B107" s="75" t="s">
        <v>183</v>
      </c>
      <c r="C107" s="49">
        <v>-0.9</v>
      </c>
      <c r="D107" s="75" t="s">
        <v>315</v>
      </c>
      <c r="E107" s="119"/>
    </row>
    <row r="108" spans="2:5" ht="15" x14ac:dyDescent="0.3">
      <c r="B108" s="75" t="s">
        <v>184</v>
      </c>
      <c r="C108" s="49">
        <v>8</v>
      </c>
      <c r="D108" s="75" t="s">
        <v>185</v>
      </c>
      <c r="E108" s="119"/>
    </row>
    <row r="109" spans="2:5" ht="15" x14ac:dyDescent="0.3">
      <c r="B109" s="75" t="s">
        <v>186</v>
      </c>
      <c r="C109" s="49">
        <v>0.2</v>
      </c>
      <c r="D109" s="75" t="s">
        <v>187</v>
      </c>
      <c r="E109" s="119"/>
    </row>
    <row r="110" spans="2:5" ht="15" x14ac:dyDescent="0.3">
      <c r="B110" s="75" t="s">
        <v>188</v>
      </c>
      <c r="C110" s="49">
        <v>10</v>
      </c>
      <c r="D110" s="75" t="s">
        <v>189</v>
      </c>
      <c r="E110" s="119"/>
    </row>
    <row r="111" spans="2:5" ht="16.2" x14ac:dyDescent="0.3">
      <c r="B111" s="75" t="s">
        <v>190</v>
      </c>
      <c r="C111" s="49">
        <v>1</v>
      </c>
      <c r="D111" s="75" t="s">
        <v>316</v>
      </c>
      <c r="E111" s="119"/>
    </row>
    <row r="112" spans="2:5" ht="16.2" x14ac:dyDescent="0.3">
      <c r="B112" s="75" t="s">
        <v>191</v>
      </c>
      <c r="C112" s="49">
        <v>1.7</v>
      </c>
      <c r="D112" s="75" t="s">
        <v>317</v>
      </c>
      <c r="E112" s="119"/>
    </row>
    <row r="113" spans="2:5" ht="15" x14ac:dyDescent="0.3">
      <c r="B113" s="75" t="s">
        <v>192</v>
      </c>
      <c r="C113" s="49">
        <v>1.1200000000000001</v>
      </c>
      <c r="D113" s="75" t="s">
        <v>193</v>
      </c>
      <c r="E113" s="119"/>
    </row>
    <row r="114" spans="2:5" ht="15" x14ac:dyDescent="0.3">
      <c r="B114" s="75" t="s">
        <v>194</v>
      </c>
      <c r="C114" s="49">
        <v>1.25</v>
      </c>
      <c r="D114" s="75" t="s">
        <v>195</v>
      </c>
      <c r="E114" s="119"/>
    </row>
    <row r="115" spans="2:5" ht="16.2" x14ac:dyDescent="0.3">
      <c r="B115" s="75" t="s">
        <v>196</v>
      </c>
      <c r="C115" s="49">
        <v>5</v>
      </c>
      <c r="D115" s="75" t="s">
        <v>318</v>
      </c>
      <c r="E115" s="119"/>
    </row>
    <row r="116" spans="2:5" ht="16.2" x14ac:dyDescent="0.3">
      <c r="B116" s="75" t="s">
        <v>197</v>
      </c>
      <c r="C116" s="49">
        <v>0</v>
      </c>
      <c r="D116" s="75" t="s">
        <v>319</v>
      </c>
      <c r="E116" s="119"/>
    </row>
    <row r="117" spans="2:5" ht="16.2" x14ac:dyDescent="0.3">
      <c r="B117" s="75" t="s">
        <v>198</v>
      </c>
      <c r="C117" s="49">
        <v>0</v>
      </c>
      <c r="D117" s="75" t="s">
        <v>320</v>
      </c>
      <c r="E117" s="119"/>
    </row>
    <row r="118" spans="2:5" ht="16.2" x14ac:dyDescent="0.3">
      <c r="B118" s="75" t="s">
        <v>199</v>
      </c>
      <c r="C118" s="49">
        <v>0</v>
      </c>
      <c r="D118" s="75" t="s">
        <v>321</v>
      </c>
      <c r="E118" s="119"/>
    </row>
    <row r="119" spans="2:5" ht="16.2" x14ac:dyDescent="0.3">
      <c r="B119" s="75" t="s">
        <v>200</v>
      </c>
      <c r="C119" s="49">
        <v>2.5000000000000001E-3</v>
      </c>
      <c r="D119" s="75" t="s">
        <v>322</v>
      </c>
      <c r="E119" s="119"/>
    </row>
    <row r="120" spans="2:5" ht="16.2" x14ac:dyDescent="0.3">
      <c r="B120" s="75" t="s">
        <v>201</v>
      </c>
      <c r="C120" s="49">
        <v>1</v>
      </c>
      <c r="D120" s="75" t="s">
        <v>323</v>
      </c>
      <c r="E120" s="119"/>
    </row>
    <row r="121" spans="2:5" ht="16.2" x14ac:dyDescent="0.3">
      <c r="B121" s="75" t="s">
        <v>202</v>
      </c>
      <c r="C121" s="49">
        <v>5.5</v>
      </c>
      <c r="D121" s="75" t="s">
        <v>324</v>
      </c>
      <c r="E121" s="119"/>
    </row>
    <row r="122" spans="2:5" ht="16.2" x14ac:dyDescent="0.3">
      <c r="B122" s="75" t="s">
        <v>203</v>
      </c>
      <c r="C122" s="49">
        <v>0.1</v>
      </c>
      <c r="D122" s="75" t="s">
        <v>325</v>
      </c>
      <c r="E122" s="119"/>
    </row>
    <row r="123" spans="2:5" ht="16.2" x14ac:dyDescent="0.3">
      <c r="B123" s="75" t="s">
        <v>204</v>
      </c>
      <c r="C123" s="49">
        <v>-1</v>
      </c>
      <c r="D123" s="75" t="s">
        <v>326</v>
      </c>
      <c r="E123" s="119"/>
    </row>
    <row r="124" spans="2:5" ht="16.2" x14ac:dyDescent="0.3">
      <c r="B124" s="75" t="s">
        <v>205</v>
      </c>
      <c r="C124" s="49">
        <v>0.1</v>
      </c>
      <c r="D124" s="75" t="s">
        <v>327</v>
      </c>
      <c r="E124" s="119"/>
    </row>
    <row r="125" spans="2:5" ht="16.2" x14ac:dyDescent="0.3">
      <c r="B125" s="75" t="s">
        <v>206</v>
      </c>
      <c r="C125" s="49">
        <v>0</v>
      </c>
      <c r="D125" s="75" t="s">
        <v>328</v>
      </c>
      <c r="E125" s="119"/>
    </row>
    <row r="126" spans="2:5" ht="16.2" x14ac:dyDescent="0.3">
      <c r="B126" s="75" t="s">
        <v>207</v>
      </c>
      <c r="C126" s="49">
        <v>0.1</v>
      </c>
      <c r="D126" s="75" t="s">
        <v>329</v>
      </c>
      <c r="E126" s="119"/>
    </row>
    <row r="127" spans="2:5" ht="16.2" x14ac:dyDescent="0.3">
      <c r="B127" s="75" t="s">
        <v>208</v>
      </c>
      <c r="C127" s="49">
        <v>-0.1</v>
      </c>
      <c r="D127" s="75" t="s">
        <v>330</v>
      </c>
      <c r="E127" s="119"/>
    </row>
    <row r="128" spans="2:5" ht="16.2" x14ac:dyDescent="0.3">
      <c r="B128" s="75" t="s">
        <v>209</v>
      </c>
      <c r="C128" s="49">
        <v>0.7</v>
      </c>
      <c r="D128" s="75" t="s">
        <v>331</v>
      </c>
      <c r="E128" s="119"/>
    </row>
    <row r="129" spans="2:5" ht="16.2" x14ac:dyDescent="0.3">
      <c r="B129" s="75" t="s">
        <v>210</v>
      </c>
      <c r="C129" s="49">
        <v>0.12</v>
      </c>
      <c r="D129" s="75" t="s">
        <v>332</v>
      </c>
      <c r="E129" s="119"/>
    </row>
    <row r="130" spans="2:5" ht="16.2" x14ac:dyDescent="0.3">
      <c r="B130" s="75" t="s">
        <v>211</v>
      </c>
      <c r="C130" s="49">
        <v>-0.12</v>
      </c>
      <c r="D130" s="75" t="s">
        <v>333</v>
      </c>
      <c r="E130" s="119"/>
    </row>
    <row r="131" spans="2:5" ht="15" x14ac:dyDescent="0.3">
      <c r="B131" s="17"/>
      <c r="C131" s="24"/>
      <c r="D131" s="17"/>
    </row>
    <row r="132" spans="2:5" ht="15" x14ac:dyDescent="0.3">
      <c r="B132" s="18" t="s">
        <v>113</v>
      </c>
      <c r="C132" s="25" t="s">
        <v>3</v>
      </c>
      <c r="D132" s="18" t="s">
        <v>4</v>
      </c>
      <c r="E132" s="42" t="s">
        <v>552</v>
      </c>
    </row>
    <row r="133" spans="2:5" ht="15" x14ac:dyDescent="0.3">
      <c r="B133" s="78" t="s">
        <v>37</v>
      </c>
      <c r="C133" s="52">
        <v>191061</v>
      </c>
      <c r="D133" s="78" t="s">
        <v>212</v>
      </c>
      <c r="E133" s="119"/>
    </row>
    <row r="134" spans="2:5" ht="15" x14ac:dyDescent="0.3">
      <c r="B134" s="159" t="s">
        <v>39</v>
      </c>
      <c r="C134" s="144">
        <v>0</v>
      </c>
      <c r="D134" s="78" t="s">
        <v>213</v>
      </c>
      <c r="E134" s="119"/>
    </row>
    <row r="135" spans="2:5" ht="15" x14ac:dyDescent="0.3">
      <c r="B135" s="159"/>
      <c r="C135" s="144"/>
      <c r="D135" s="78" t="s">
        <v>214</v>
      </c>
      <c r="E135" s="119"/>
    </row>
    <row r="136" spans="2:5" ht="16.8" x14ac:dyDescent="0.3">
      <c r="B136" s="159" t="s">
        <v>41</v>
      </c>
      <c r="C136" s="144">
        <v>1</v>
      </c>
      <c r="D136" s="80" t="s">
        <v>440</v>
      </c>
      <c r="E136" s="119"/>
    </row>
    <row r="137" spans="2:5" ht="30" x14ac:dyDescent="0.3">
      <c r="B137" s="159"/>
      <c r="C137" s="144"/>
      <c r="D137" s="78" t="s">
        <v>215</v>
      </c>
      <c r="E137" s="119"/>
    </row>
    <row r="138" spans="2:5" ht="16.2" x14ac:dyDescent="0.3">
      <c r="B138" s="78" t="s">
        <v>216</v>
      </c>
      <c r="C138" s="50">
        <v>0</v>
      </c>
      <c r="D138" s="78" t="s">
        <v>441</v>
      </c>
      <c r="E138" s="119"/>
    </row>
    <row r="139" spans="2:5" ht="16.2" x14ac:dyDescent="0.3">
      <c r="B139" s="78" t="s">
        <v>217</v>
      </c>
      <c r="C139" s="53" t="s">
        <v>401</v>
      </c>
      <c r="D139" s="78" t="s">
        <v>442</v>
      </c>
      <c r="E139" s="119"/>
    </row>
    <row r="140" spans="2:5" ht="15" x14ac:dyDescent="0.3">
      <c r="B140" s="159" t="s">
        <v>218</v>
      </c>
      <c r="C140" s="144">
        <v>0</v>
      </c>
      <c r="D140" s="78" t="s">
        <v>219</v>
      </c>
      <c r="E140" s="119"/>
    </row>
    <row r="141" spans="2:5" ht="15" x14ac:dyDescent="0.3">
      <c r="B141" s="159"/>
      <c r="C141" s="144"/>
      <c r="D141" s="81" t="s">
        <v>334</v>
      </c>
      <c r="E141" s="119"/>
    </row>
    <row r="142" spans="2:5" ht="15" x14ac:dyDescent="0.3">
      <c r="B142" s="159"/>
      <c r="C142" s="144"/>
      <c r="D142" s="81" t="s">
        <v>335</v>
      </c>
      <c r="E142" s="119"/>
    </row>
    <row r="143" spans="2:5" ht="16.8" x14ac:dyDescent="0.3">
      <c r="B143" s="78" t="s">
        <v>220</v>
      </c>
      <c r="C143" s="52">
        <v>191061</v>
      </c>
      <c r="D143" s="78" t="s">
        <v>421</v>
      </c>
      <c r="E143" s="119"/>
    </row>
    <row r="144" spans="2:5" ht="16.8" x14ac:dyDescent="0.3">
      <c r="B144" s="78" t="s">
        <v>221</v>
      </c>
      <c r="C144" s="52">
        <v>991061</v>
      </c>
      <c r="D144" s="78" t="s">
        <v>422</v>
      </c>
      <c r="E144" s="119"/>
    </row>
    <row r="145" spans="2:5" ht="15" x14ac:dyDescent="0.3">
      <c r="B145" s="78" t="s">
        <v>222</v>
      </c>
      <c r="C145" s="56" t="s">
        <v>400</v>
      </c>
      <c r="D145" s="78" t="s">
        <v>223</v>
      </c>
      <c r="E145" s="119"/>
    </row>
    <row r="146" spans="2:5" ht="16.2" x14ac:dyDescent="0.3">
      <c r="B146" s="78" t="s">
        <v>224</v>
      </c>
      <c r="C146" s="50">
        <v>1</v>
      </c>
      <c r="D146" s="78" t="s">
        <v>443</v>
      </c>
      <c r="E146" s="119"/>
    </row>
    <row r="147" spans="2:5" ht="15" x14ac:dyDescent="0.3">
      <c r="B147" s="17"/>
      <c r="C147" s="24"/>
      <c r="D147" s="17"/>
    </row>
    <row r="148" spans="2:5" ht="15" x14ac:dyDescent="0.3">
      <c r="B148" s="43" t="s">
        <v>150</v>
      </c>
      <c r="C148" s="154" t="s">
        <v>4</v>
      </c>
      <c r="D148" s="154"/>
    </row>
    <row r="149" spans="2:5" ht="15" x14ac:dyDescent="0.3">
      <c r="B149" s="9" t="s">
        <v>25</v>
      </c>
      <c r="C149" s="146" t="s">
        <v>83</v>
      </c>
      <c r="D149" s="146"/>
    </row>
    <row r="150" spans="2:5" ht="15" x14ac:dyDescent="0.3">
      <c r="B150" s="9" t="s">
        <v>27</v>
      </c>
      <c r="C150" s="146" t="s">
        <v>84</v>
      </c>
      <c r="D150" s="146"/>
    </row>
    <row r="151" spans="2:5" ht="15" x14ac:dyDescent="0.3">
      <c r="B151" s="9" t="s">
        <v>29</v>
      </c>
      <c r="C151" s="146" t="s">
        <v>225</v>
      </c>
      <c r="D151" s="146"/>
    </row>
    <row r="152" spans="2:5" ht="15" x14ac:dyDescent="0.3">
      <c r="B152" s="9" t="s">
        <v>86</v>
      </c>
      <c r="C152" s="146" t="s">
        <v>226</v>
      </c>
      <c r="D152" s="146"/>
    </row>
    <row r="153" spans="2:5" ht="15" x14ac:dyDescent="0.3">
      <c r="B153" s="9" t="s">
        <v>88</v>
      </c>
      <c r="C153" s="146" t="s">
        <v>89</v>
      </c>
      <c r="D153" s="146"/>
    </row>
    <row r="154" spans="2:5" ht="15" x14ac:dyDescent="0.3">
      <c r="B154" s="9" t="s">
        <v>90</v>
      </c>
      <c r="C154" s="146" t="s">
        <v>91</v>
      </c>
      <c r="D154" s="146"/>
    </row>
    <row r="155" spans="2:5" ht="15" x14ac:dyDescent="0.3">
      <c r="B155" s="9" t="s">
        <v>92</v>
      </c>
      <c r="C155" s="146" t="s">
        <v>227</v>
      </c>
      <c r="D155" s="146"/>
    </row>
    <row r="156" spans="2:5" ht="15" x14ac:dyDescent="0.3">
      <c r="B156" s="9" t="s">
        <v>94</v>
      </c>
      <c r="C156" s="146" t="s">
        <v>228</v>
      </c>
      <c r="D156" s="146"/>
    </row>
    <row r="157" spans="2:5" ht="15" x14ac:dyDescent="0.3">
      <c r="B157" s="9" t="s">
        <v>96</v>
      </c>
      <c r="C157" s="146" t="s">
        <v>97</v>
      </c>
      <c r="D157" s="146"/>
    </row>
    <row r="158" spans="2:5" ht="15" x14ac:dyDescent="0.3">
      <c r="B158" s="9" t="s">
        <v>98</v>
      </c>
      <c r="C158" s="146" t="s">
        <v>99</v>
      </c>
      <c r="D158" s="146"/>
    </row>
    <row r="159" spans="2:5" ht="15" x14ac:dyDescent="0.3">
      <c r="B159" s="9" t="s">
        <v>229</v>
      </c>
      <c r="C159" s="146" t="s">
        <v>230</v>
      </c>
      <c r="D159" s="146"/>
    </row>
    <row r="160" spans="2:5" ht="15" x14ac:dyDescent="0.3">
      <c r="B160" s="9" t="s">
        <v>231</v>
      </c>
      <c r="C160" s="146" t="s">
        <v>232</v>
      </c>
      <c r="D160" s="146"/>
    </row>
    <row r="161" spans="2:4" ht="15" x14ac:dyDescent="0.3">
      <c r="B161" s="9" t="s">
        <v>233</v>
      </c>
      <c r="C161" s="146" t="s">
        <v>234</v>
      </c>
      <c r="D161" s="146"/>
    </row>
    <row r="162" spans="2:4" ht="15" x14ac:dyDescent="0.3">
      <c r="B162" s="9" t="s">
        <v>235</v>
      </c>
      <c r="C162" s="146" t="s">
        <v>236</v>
      </c>
      <c r="D162" s="146"/>
    </row>
    <row r="163" spans="2:4" ht="15" x14ac:dyDescent="0.3">
      <c r="B163" s="9" t="s">
        <v>237</v>
      </c>
      <c r="C163" s="146" t="s">
        <v>238</v>
      </c>
      <c r="D163" s="146"/>
    </row>
    <row r="164" spans="2:4" ht="15" x14ac:dyDescent="0.3">
      <c r="B164" s="9" t="s">
        <v>239</v>
      </c>
      <c r="C164" s="146" t="s">
        <v>240</v>
      </c>
      <c r="D164" s="146"/>
    </row>
    <row r="165" spans="2:4" ht="15" x14ac:dyDescent="0.3">
      <c r="B165" s="9" t="s">
        <v>241</v>
      </c>
      <c r="C165" s="146" t="s">
        <v>242</v>
      </c>
      <c r="D165" s="146"/>
    </row>
    <row r="166" spans="2:4" ht="15" x14ac:dyDescent="0.3">
      <c r="B166" s="9" t="s">
        <v>243</v>
      </c>
      <c r="C166" s="146" t="s">
        <v>244</v>
      </c>
      <c r="D166" s="146"/>
    </row>
    <row r="167" spans="2:4" ht="15" x14ac:dyDescent="0.3">
      <c r="B167" s="17"/>
      <c r="C167" s="24"/>
      <c r="D167" s="17"/>
    </row>
    <row r="168" spans="2:4" ht="15" x14ac:dyDescent="0.3">
      <c r="B168" s="43" t="s">
        <v>31</v>
      </c>
      <c r="C168" s="154" t="s">
        <v>4</v>
      </c>
      <c r="D168" s="154"/>
    </row>
    <row r="169" spans="2:4" ht="15" x14ac:dyDescent="0.3">
      <c r="B169" s="9" t="s">
        <v>108</v>
      </c>
      <c r="C169" s="146" t="s">
        <v>245</v>
      </c>
      <c r="D169" s="146"/>
    </row>
    <row r="170" spans="2:4" ht="15" x14ac:dyDescent="0.3">
      <c r="B170" s="9" t="s">
        <v>153</v>
      </c>
      <c r="C170" s="146" t="s">
        <v>246</v>
      </c>
      <c r="D170" s="146"/>
    </row>
    <row r="171" spans="2:4" ht="15" x14ac:dyDescent="0.3">
      <c r="B171" s="9" t="s">
        <v>154</v>
      </c>
      <c r="C171" s="146" t="s">
        <v>247</v>
      </c>
      <c r="D171" s="146"/>
    </row>
    <row r="172" spans="2:4" ht="15" x14ac:dyDescent="0.3">
      <c r="B172" s="9" t="s">
        <v>248</v>
      </c>
      <c r="C172" s="146" t="s">
        <v>249</v>
      </c>
      <c r="D172" s="146"/>
    </row>
    <row r="173" spans="2:4" ht="15" x14ac:dyDescent="0.3">
      <c r="B173" s="9" t="s">
        <v>250</v>
      </c>
      <c r="C173" s="146" t="s">
        <v>251</v>
      </c>
      <c r="D173" s="146"/>
    </row>
    <row r="174" spans="2:4" ht="15" x14ac:dyDescent="0.3">
      <c r="B174" s="9" t="s">
        <v>252</v>
      </c>
      <c r="C174" s="146" t="s">
        <v>253</v>
      </c>
      <c r="D174" s="146"/>
    </row>
    <row r="175" spans="2:4" ht="15" x14ac:dyDescent="0.3">
      <c r="B175" s="9" t="s">
        <v>254</v>
      </c>
      <c r="C175" s="146" t="s">
        <v>255</v>
      </c>
      <c r="D175" s="146"/>
    </row>
    <row r="176" spans="2:4" ht="15" x14ac:dyDescent="0.3">
      <c r="B176" s="9" t="s">
        <v>256</v>
      </c>
      <c r="C176" s="146" t="s">
        <v>257</v>
      </c>
      <c r="D176" s="146"/>
    </row>
    <row r="177" spans="1:6" ht="15" x14ac:dyDescent="0.3">
      <c r="B177" s="9" t="s">
        <v>258</v>
      </c>
      <c r="C177" s="146" t="s">
        <v>259</v>
      </c>
      <c r="D177" s="146"/>
    </row>
    <row r="178" spans="1:6" ht="15" x14ac:dyDescent="0.3">
      <c r="B178" s="9" t="s">
        <v>260</v>
      </c>
      <c r="C178" s="146" t="s">
        <v>261</v>
      </c>
      <c r="D178" s="146"/>
    </row>
    <row r="179" spans="1:6" ht="15" x14ac:dyDescent="0.3">
      <c r="B179" s="18" t="s">
        <v>262</v>
      </c>
      <c r="C179" s="146" t="s">
        <v>263</v>
      </c>
      <c r="D179" s="146"/>
    </row>
    <row r="180" spans="1:6" ht="15" x14ac:dyDescent="0.3">
      <c r="B180" s="18" t="s">
        <v>264</v>
      </c>
      <c r="C180" s="146" t="s">
        <v>265</v>
      </c>
      <c r="D180" s="146"/>
    </row>
    <row r="181" spans="1:6" ht="15" x14ac:dyDescent="0.3">
      <c r="B181" s="18" t="s">
        <v>266</v>
      </c>
      <c r="C181" s="146" t="s">
        <v>267</v>
      </c>
      <c r="D181" s="146"/>
    </row>
    <row r="182" spans="1:6" ht="15" x14ac:dyDescent="0.3">
      <c r="B182" s="18" t="s">
        <v>268</v>
      </c>
      <c r="C182" s="146" t="s">
        <v>269</v>
      </c>
      <c r="D182" s="146"/>
    </row>
    <row r="183" spans="1:6" ht="15" x14ac:dyDescent="0.3">
      <c r="B183" s="18" t="s">
        <v>270</v>
      </c>
      <c r="C183" s="146" t="s">
        <v>271</v>
      </c>
      <c r="D183" s="146"/>
    </row>
    <row r="184" spans="1:6" ht="15" x14ac:dyDescent="0.3">
      <c r="B184" s="18" t="s">
        <v>272</v>
      </c>
      <c r="C184" s="146" t="s">
        <v>273</v>
      </c>
      <c r="D184" s="146"/>
    </row>
    <row r="185" spans="1:6" s="20" customFormat="1" x14ac:dyDescent="0.3">
      <c r="C185" s="26"/>
    </row>
    <row r="186" spans="1:6" ht="16.2" x14ac:dyDescent="0.35">
      <c r="A186" s="5" t="s">
        <v>357</v>
      </c>
    </row>
    <row r="187" spans="1:6" x14ac:dyDescent="0.3">
      <c r="B187" s="40" t="s">
        <v>358</v>
      </c>
      <c r="C187" s="44"/>
      <c r="D187" s="40"/>
      <c r="E187" s="40"/>
    </row>
    <row r="188" spans="1:6" ht="15" x14ac:dyDescent="0.3">
      <c r="B188" s="41" t="s">
        <v>2</v>
      </c>
      <c r="C188" s="42" t="s">
        <v>3</v>
      </c>
      <c r="D188" s="41" t="s">
        <v>4</v>
      </c>
      <c r="E188" s="42" t="s">
        <v>552</v>
      </c>
      <c r="F188" s="51" t="s">
        <v>370</v>
      </c>
    </row>
    <row r="189" spans="1:6" ht="36" customHeight="1" x14ac:dyDescent="0.3">
      <c r="B189" s="78" t="s">
        <v>5</v>
      </c>
      <c r="C189" s="45">
        <v>9</v>
      </c>
      <c r="D189" s="78" t="s">
        <v>359</v>
      </c>
      <c r="E189" s="25" t="s">
        <v>569</v>
      </c>
    </row>
    <row r="190" spans="1:6" ht="15" customHeight="1" x14ac:dyDescent="0.3">
      <c r="B190" s="78" t="s">
        <v>7</v>
      </c>
      <c r="C190" s="46">
        <v>0</v>
      </c>
      <c r="D190" s="78" t="s">
        <v>360</v>
      </c>
      <c r="E190" s="119"/>
      <c r="F190" s="51" t="s">
        <v>397</v>
      </c>
    </row>
    <row r="191" spans="1:6" ht="16.2" x14ac:dyDescent="0.3">
      <c r="B191" s="78" t="s">
        <v>9</v>
      </c>
      <c r="C191" s="46">
        <v>0</v>
      </c>
      <c r="D191" s="78" t="s">
        <v>429</v>
      </c>
      <c r="E191" s="119"/>
      <c r="F191" s="15" t="s">
        <v>489</v>
      </c>
    </row>
    <row r="192" spans="1:6" ht="15" customHeight="1" x14ac:dyDescent="0.3">
      <c r="B192" s="78" t="s">
        <v>11</v>
      </c>
      <c r="C192" s="46">
        <v>1.246</v>
      </c>
      <c r="D192" s="78" t="s">
        <v>361</v>
      </c>
      <c r="E192" s="119"/>
    </row>
    <row r="193" spans="2:18" ht="15" customHeight="1" x14ac:dyDescent="0.3">
      <c r="B193" s="78" t="s">
        <v>13</v>
      </c>
      <c r="C193" s="46">
        <v>1.5</v>
      </c>
      <c r="D193" s="78" t="s">
        <v>362</v>
      </c>
      <c r="E193" s="119"/>
      <c r="F193" s="114" t="s">
        <v>482</v>
      </c>
      <c r="G193" s="113" t="s">
        <v>531</v>
      </c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</row>
    <row r="194" spans="2:18" ht="15" customHeight="1" x14ac:dyDescent="0.3">
      <c r="B194" s="17"/>
      <c r="C194" s="24"/>
      <c r="D194" s="17"/>
      <c r="G194" s="113" t="s">
        <v>532</v>
      </c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</row>
    <row r="195" spans="2:18" ht="15" customHeight="1" x14ac:dyDescent="0.3">
      <c r="B195" s="41" t="s">
        <v>113</v>
      </c>
      <c r="C195" s="42" t="s">
        <v>3</v>
      </c>
      <c r="D195" s="41" t="s">
        <v>4</v>
      </c>
    </row>
    <row r="196" spans="2:18" ht="15" customHeight="1" x14ac:dyDescent="0.3">
      <c r="B196" s="19" t="s">
        <v>37</v>
      </c>
      <c r="C196" s="25"/>
      <c r="D196" s="19" t="s">
        <v>338</v>
      </c>
    </row>
    <row r="197" spans="2:18" ht="15" customHeight="1" x14ac:dyDescent="0.3">
      <c r="B197" s="17"/>
      <c r="C197" s="24"/>
      <c r="D197" s="17"/>
    </row>
    <row r="198" spans="2:18" ht="15" x14ac:dyDescent="0.3">
      <c r="B198" s="41" t="s">
        <v>150</v>
      </c>
      <c r="C198" s="154" t="s">
        <v>4</v>
      </c>
      <c r="D198" s="154"/>
    </row>
    <row r="199" spans="2:18" ht="15" x14ac:dyDescent="0.3">
      <c r="B199" s="19" t="s">
        <v>25</v>
      </c>
      <c r="C199" s="146" t="s">
        <v>363</v>
      </c>
      <c r="D199" s="146"/>
    </row>
    <row r="200" spans="2:18" ht="15" x14ac:dyDescent="0.3">
      <c r="B200" s="19" t="s">
        <v>27</v>
      </c>
      <c r="C200" s="146" t="s">
        <v>364</v>
      </c>
      <c r="D200" s="146"/>
    </row>
    <row r="201" spans="2:18" ht="15" x14ac:dyDescent="0.3">
      <c r="B201" s="19" t="s">
        <v>29</v>
      </c>
      <c r="C201" s="146" t="s">
        <v>365</v>
      </c>
      <c r="D201" s="146"/>
    </row>
    <row r="202" spans="2:18" ht="15" x14ac:dyDescent="0.3">
      <c r="B202" s="19" t="s">
        <v>86</v>
      </c>
      <c r="C202" s="146" t="s">
        <v>366</v>
      </c>
      <c r="D202" s="146"/>
    </row>
    <row r="203" spans="2:18" ht="15" x14ac:dyDescent="0.3">
      <c r="B203" s="17"/>
      <c r="C203" s="24"/>
      <c r="D203" s="17"/>
    </row>
    <row r="204" spans="2:18" ht="15" x14ac:dyDescent="0.3">
      <c r="B204" s="41" t="s">
        <v>31</v>
      </c>
      <c r="C204" s="154" t="s">
        <v>4</v>
      </c>
      <c r="D204" s="154"/>
    </row>
    <row r="205" spans="2:18" ht="15" x14ac:dyDescent="0.3">
      <c r="B205" s="19" t="s">
        <v>108</v>
      </c>
      <c r="C205" s="146" t="s">
        <v>367</v>
      </c>
      <c r="D205" s="146"/>
    </row>
    <row r="206" spans="2:18" ht="15" x14ac:dyDescent="0.3">
      <c r="B206" s="19" t="s">
        <v>153</v>
      </c>
      <c r="C206" s="146" t="s">
        <v>368</v>
      </c>
      <c r="D206" s="146"/>
    </row>
    <row r="207" spans="2:18" ht="15" x14ac:dyDescent="0.3">
      <c r="B207" s="19" t="s">
        <v>154</v>
      </c>
      <c r="C207" s="146" t="s">
        <v>369</v>
      </c>
      <c r="D207" s="146"/>
    </row>
    <row r="208" spans="2:18" ht="15" x14ac:dyDescent="0.3">
      <c r="B208" s="19" t="s">
        <v>248</v>
      </c>
      <c r="C208" s="146" t="s">
        <v>356</v>
      </c>
      <c r="D208" s="146"/>
    </row>
    <row r="209" spans="1:6" s="20" customFormat="1" x14ac:dyDescent="0.3">
      <c r="C209" s="26"/>
    </row>
    <row r="210" spans="1:6" ht="16.2" x14ac:dyDescent="0.35">
      <c r="A210" s="5" t="s">
        <v>336</v>
      </c>
    </row>
    <row r="211" spans="1:6" x14ac:dyDescent="0.3">
      <c r="B211" s="40" t="s">
        <v>337</v>
      </c>
    </row>
    <row r="212" spans="1:6" ht="15" x14ac:dyDescent="0.3">
      <c r="B212" s="41" t="s">
        <v>2</v>
      </c>
      <c r="C212" s="42" t="s">
        <v>3</v>
      </c>
      <c r="D212" s="41" t="s">
        <v>4</v>
      </c>
      <c r="E212" s="42" t="s">
        <v>552</v>
      </c>
      <c r="F212" s="51" t="s">
        <v>345</v>
      </c>
    </row>
    <row r="213" spans="1:6" ht="16.2" x14ac:dyDescent="0.3">
      <c r="B213" s="78" t="s">
        <v>5</v>
      </c>
      <c r="C213" s="46">
        <v>0.3</v>
      </c>
      <c r="D213" s="78" t="s">
        <v>444</v>
      </c>
      <c r="E213" s="119"/>
    </row>
    <row r="214" spans="1:6" ht="16.2" x14ac:dyDescent="0.3">
      <c r="B214" s="78" t="s">
        <v>7</v>
      </c>
      <c r="C214" s="46">
        <v>150</v>
      </c>
      <c r="D214" s="78" t="s">
        <v>445</v>
      </c>
      <c r="E214" s="119"/>
      <c r="F214" s="51" t="s">
        <v>393</v>
      </c>
    </row>
    <row r="215" spans="1:6" ht="16.2" x14ac:dyDescent="0.3">
      <c r="B215" s="78" t="s">
        <v>9</v>
      </c>
      <c r="C215" s="46">
        <v>25</v>
      </c>
      <c r="D215" s="78" t="s">
        <v>446</v>
      </c>
      <c r="E215" s="119"/>
      <c r="F215" s="51" t="s">
        <v>394</v>
      </c>
    </row>
    <row r="216" spans="1:6" ht="16.2" x14ac:dyDescent="0.3">
      <c r="B216" s="78" t="s">
        <v>11</v>
      </c>
      <c r="C216" s="46">
        <v>3</v>
      </c>
      <c r="D216" s="78" t="s">
        <v>447</v>
      </c>
      <c r="E216" s="119"/>
      <c r="F216" s="51" t="s">
        <v>395</v>
      </c>
    </row>
    <row r="217" spans="1:6" ht="16.2" x14ac:dyDescent="0.3">
      <c r="B217" s="78" t="s">
        <v>13</v>
      </c>
      <c r="C217" s="46">
        <v>30</v>
      </c>
      <c r="D217" s="78" t="s">
        <v>448</v>
      </c>
      <c r="E217" s="119"/>
    </row>
    <row r="218" spans="1:6" ht="16.2" x14ac:dyDescent="0.3">
      <c r="B218" s="78" t="s">
        <v>15</v>
      </c>
      <c r="C218" s="46">
        <v>-4</v>
      </c>
      <c r="D218" s="78" t="s">
        <v>449</v>
      </c>
      <c r="E218" s="119"/>
    </row>
    <row r="219" spans="1:6" ht="16.2" x14ac:dyDescent="0.3">
      <c r="B219" s="78" t="s">
        <v>17</v>
      </c>
      <c r="C219" s="46">
        <v>27</v>
      </c>
      <c r="D219" s="78" t="s">
        <v>450</v>
      </c>
      <c r="E219" s="119"/>
    </row>
    <row r="220" spans="1:6" ht="16.2" x14ac:dyDescent="0.3">
      <c r="B220" s="78" t="s">
        <v>19</v>
      </c>
      <c r="C220" s="46">
        <v>-10</v>
      </c>
      <c r="D220" s="80" t="s">
        <v>451</v>
      </c>
      <c r="E220" s="119"/>
    </row>
    <row r="221" spans="1:6" ht="16.2" x14ac:dyDescent="0.3">
      <c r="B221" s="78" t="s">
        <v>21</v>
      </c>
      <c r="C221" s="46">
        <v>10</v>
      </c>
      <c r="D221" s="78" t="s">
        <v>452</v>
      </c>
      <c r="E221" s="119"/>
    </row>
    <row r="222" spans="1:6" ht="16.2" x14ac:dyDescent="0.3">
      <c r="B222" s="78" t="s">
        <v>53</v>
      </c>
      <c r="C222" s="46">
        <v>1</v>
      </c>
      <c r="D222" s="78" t="s">
        <v>453</v>
      </c>
      <c r="E222" s="119"/>
    </row>
    <row r="223" spans="1:6" ht="15" x14ac:dyDescent="0.3">
      <c r="B223" s="17"/>
      <c r="C223" s="24"/>
      <c r="D223" s="17"/>
    </row>
    <row r="224" spans="1:6" ht="15" x14ac:dyDescent="0.3">
      <c r="B224" s="41" t="s">
        <v>113</v>
      </c>
      <c r="C224" s="42" t="s">
        <v>3</v>
      </c>
      <c r="D224" s="41" t="s">
        <v>4</v>
      </c>
    </row>
    <row r="225" spans="1:6" ht="15" x14ac:dyDescent="0.3">
      <c r="B225" s="18" t="s">
        <v>37</v>
      </c>
      <c r="C225" s="25"/>
      <c r="D225" s="18" t="s">
        <v>338</v>
      </c>
    </row>
    <row r="226" spans="1:6" ht="15" x14ac:dyDescent="0.3">
      <c r="B226" s="18" t="s">
        <v>39</v>
      </c>
      <c r="C226" s="25"/>
      <c r="D226" s="18" t="s">
        <v>338</v>
      </c>
    </row>
    <row r="227" spans="1:6" ht="15" x14ac:dyDescent="0.3">
      <c r="B227" s="17"/>
      <c r="C227" s="24"/>
      <c r="D227" s="17"/>
    </row>
    <row r="228" spans="1:6" ht="15" x14ac:dyDescent="0.3">
      <c r="B228" s="43" t="s">
        <v>150</v>
      </c>
      <c r="C228" s="154" t="s">
        <v>4</v>
      </c>
      <c r="D228" s="154"/>
    </row>
    <row r="229" spans="1:6" ht="15" x14ac:dyDescent="0.3">
      <c r="B229" s="9" t="s">
        <v>25</v>
      </c>
      <c r="C229" s="146" t="s">
        <v>339</v>
      </c>
      <c r="D229" s="146"/>
    </row>
    <row r="230" spans="1:6" ht="15" x14ac:dyDescent="0.3">
      <c r="B230" s="9" t="s">
        <v>27</v>
      </c>
      <c r="C230" s="146" t="s">
        <v>340</v>
      </c>
      <c r="D230" s="146"/>
    </row>
    <row r="231" spans="1:6" ht="15" x14ac:dyDescent="0.3">
      <c r="B231" s="9" t="s">
        <v>29</v>
      </c>
      <c r="C231" s="146" t="s">
        <v>341</v>
      </c>
      <c r="D231" s="146"/>
    </row>
    <row r="232" spans="1:6" ht="15" x14ac:dyDescent="0.3">
      <c r="B232" s="17"/>
      <c r="C232" s="24"/>
      <c r="D232" s="17"/>
    </row>
    <row r="233" spans="1:6" ht="15" x14ac:dyDescent="0.3">
      <c r="B233" s="43" t="s">
        <v>31</v>
      </c>
      <c r="C233" s="154" t="s">
        <v>4</v>
      </c>
      <c r="D233" s="154"/>
    </row>
    <row r="234" spans="1:6" ht="15" x14ac:dyDescent="0.3">
      <c r="B234" s="9" t="s">
        <v>108</v>
      </c>
      <c r="C234" s="146" t="s">
        <v>342</v>
      </c>
      <c r="D234" s="146"/>
    </row>
    <row r="235" spans="1:6" ht="15" x14ac:dyDescent="0.3">
      <c r="B235" s="9" t="s">
        <v>153</v>
      </c>
      <c r="C235" s="146" t="s">
        <v>343</v>
      </c>
      <c r="D235" s="146"/>
    </row>
    <row r="236" spans="1:6" ht="15" x14ac:dyDescent="0.3">
      <c r="B236" s="9" t="s">
        <v>154</v>
      </c>
      <c r="C236" s="146" t="s">
        <v>344</v>
      </c>
      <c r="D236" s="146"/>
    </row>
    <row r="237" spans="1:6" s="20" customFormat="1" x14ac:dyDescent="0.3">
      <c r="C237" s="26"/>
    </row>
    <row r="238" spans="1:6" ht="16.2" x14ac:dyDescent="0.35">
      <c r="A238" s="5" t="s">
        <v>346</v>
      </c>
    </row>
    <row r="239" spans="1:6" x14ac:dyDescent="0.3">
      <c r="B239" s="40" t="s">
        <v>347</v>
      </c>
    </row>
    <row r="240" spans="1:6" ht="15" x14ac:dyDescent="0.3">
      <c r="B240" s="41" t="s">
        <v>2</v>
      </c>
      <c r="C240" s="42" t="s">
        <v>3</v>
      </c>
      <c r="D240" s="41" t="s">
        <v>4</v>
      </c>
      <c r="E240" s="42" t="s">
        <v>552</v>
      </c>
      <c r="F240" s="51" t="s">
        <v>399</v>
      </c>
    </row>
    <row r="241" spans="2:6" ht="16.2" x14ac:dyDescent="0.3">
      <c r="B241" s="78" t="s">
        <v>5</v>
      </c>
      <c r="C241" s="46">
        <v>20</v>
      </c>
      <c r="D241" s="78" t="s">
        <v>454</v>
      </c>
      <c r="E241" s="119"/>
    </row>
    <row r="242" spans="2:6" ht="16.2" x14ac:dyDescent="0.3">
      <c r="B242" s="78" t="s">
        <v>7</v>
      </c>
      <c r="C242" s="46">
        <v>0</v>
      </c>
      <c r="D242" s="78" t="s">
        <v>455</v>
      </c>
      <c r="E242" s="119"/>
      <c r="F242" s="51" t="s">
        <v>396</v>
      </c>
    </row>
    <row r="243" spans="2:6" ht="16.2" x14ac:dyDescent="0.3">
      <c r="B243" s="78" t="s">
        <v>9</v>
      </c>
      <c r="C243" s="46">
        <v>27</v>
      </c>
      <c r="D243" s="78" t="s">
        <v>456</v>
      </c>
      <c r="E243" s="119"/>
      <c r="F243" s="15" t="s">
        <v>488</v>
      </c>
    </row>
    <row r="244" spans="2:6" ht="16.2" x14ac:dyDescent="0.3">
      <c r="B244" s="78" t="s">
        <v>11</v>
      </c>
      <c r="C244" s="46">
        <v>-4</v>
      </c>
      <c r="D244" s="78" t="s">
        <v>457</v>
      </c>
      <c r="E244" s="119"/>
      <c r="F244" s="15" t="s">
        <v>402</v>
      </c>
    </row>
    <row r="245" spans="2:6" ht="16.2" x14ac:dyDescent="0.3">
      <c r="B245" s="78" t="s">
        <v>13</v>
      </c>
      <c r="C245" s="46">
        <v>0</v>
      </c>
      <c r="D245" s="78" t="s">
        <v>458</v>
      </c>
      <c r="E245" s="119"/>
    </row>
    <row r="246" spans="2:6" ht="15" x14ac:dyDescent="0.3">
      <c r="B246" s="78" t="s">
        <v>348</v>
      </c>
      <c r="C246" s="45">
        <v>1.2250000000000001</v>
      </c>
      <c r="D246" s="78" t="s">
        <v>349</v>
      </c>
      <c r="E246" s="119"/>
    </row>
    <row r="247" spans="2:6" ht="15" x14ac:dyDescent="0.3">
      <c r="B247" s="78" t="s">
        <v>17</v>
      </c>
      <c r="C247" s="45">
        <v>35.25</v>
      </c>
      <c r="D247" s="78" t="s">
        <v>350</v>
      </c>
      <c r="E247" s="119"/>
    </row>
    <row r="248" spans="2:6" ht="16.2" x14ac:dyDescent="0.3">
      <c r="B248" s="78" t="s">
        <v>19</v>
      </c>
      <c r="C248" s="45">
        <v>72</v>
      </c>
      <c r="D248" s="78" t="s">
        <v>459</v>
      </c>
      <c r="E248" s="119"/>
    </row>
    <row r="249" spans="2:6" ht="15" x14ac:dyDescent="0.3">
      <c r="B249" s="78" t="s">
        <v>21</v>
      </c>
      <c r="C249" s="45">
        <v>1200</v>
      </c>
      <c r="D249" s="78" t="s">
        <v>351</v>
      </c>
      <c r="E249" s="119"/>
    </row>
    <row r="250" spans="2:6" ht="15" x14ac:dyDescent="0.3">
      <c r="B250" s="17"/>
      <c r="C250" s="24"/>
      <c r="D250" s="17"/>
    </row>
    <row r="251" spans="2:6" ht="15" x14ac:dyDescent="0.3">
      <c r="B251" s="18" t="s">
        <v>113</v>
      </c>
      <c r="C251" s="25" t="s">
        <v>3</v>
      </c>
      <c r="D251" s="18" t="s">
        <v>4</v>
      </c>
    </row>
    <row r="252" spans="2:6" ht="15" x14ac:dyDescent="0.3">
      <c r="B252" s="18" t="s">
        <v>37</v>
      </c>
      <c r="C252" s="25"/>
      <c r="D252" s="18" t="s">
        <v>338</v>
      </c>
    </row>
    <row r="253" spans="2:6" ht="15" x14ac:dyDescent="0.3">
      <c r="B253" s="17"/>
      <c r="C253" s="24"/>
      <c r="D253" s="17"/>
    </row>
    <row r="254" spans="2:6" ht="15" x14ac:dyDescent="0.3">
      <c r="B254" s="9" t="s">
        <v>150</v>
      </c>
      <c r="C254" s="146" t="s">
        <v>4</v>
      </c>
      <c r="D254" s="146"/>
    </row>
    <row r="255" spans="2:6" ht="15" x14ac:dyDescent="0.3">
      <c r="B255" s="9" t="s">
        <v>25</v>
      </c>
      <c r="C255" s="146" t="s">
        <v>352</v>
      </c>
      <c r="D255" s="146"/>
    </row>
    <row r="256" spans="2:6" ht="15" x14ac:dyDescent="0.3">
      <c r="B256" s="17"/>
      <c r="C256" s="24"/>
      <c r="D256" s="17"/>
    </row>
    <row r="257" spans="1:21" ht="15" x14ac:dyDescent="0.3">
      <c r="B257" s="9" t="s">
        <v>31</v>
      </c>
      <c r="C257" s="146" t="s">
        <v>4</v>
      </c>
      <c r="D257" s="146"/>
    </row>
    <row r="258" spans="1:21" ht="15" x14ac:dyDescent="0.3">
      <c r="B258" s="9" t="s">
        <v>108</v>
      </c>
      <c r="C258" s="146" t="s">
        <v>353</v>
      </c>
      <c r="D258" s="146"/>
    </row>
    <row r="259" spans="1:21" ht="15" x14ac:dyDescent="0.3">
      <c r="B259" s="9" t="s">
        <v>153</v>
      </c>
      <c r="C259" s="146" t="s">
        <v>354</v>
      </c>
      <c r="D259" s="146"/>
    </row>
    <row r="260" spans="1:21" ht="15" x14ac:dyDescent="0.3">
      <c r="B260" s="9" t="s">
        <v>154</v>
      </c>
      <c r="C260" s="146" t="s">
        <v>355</v>
      </c>
      <c r="D260" s="146"/>
    </row>
    <row r="261" spans="1:21" ht="15" x14ac:dyDescent="0.3">
      <c r="B261" s="9" t="s">
        <v>248</v>
      </c>
      <c r="C261" s="146" t="s">
        <v>356</v>
      </c>
      <c r="D261" s="146"/>
    </row>
    <row r="262" spans="1:21" s="20" customFormat="1" x14ac:dyDescent="0.3">
      <c r="C262" s="26"/>
    </row>
    <row r="263" spans="1:21" ht="16.2" x14ac:dyDescent="0.35">
      <c r="A263" s="5" t="s">
        <v>371</v>
      </c>
    </row>
    <row r="264" spans="1:21" x14ac:dyDescent="0.3">
      <c r="B264" s="40" t="s">
        <v>372</v>
      </c>
    </row>
    <row r="265" spans="1:21" ht="15" x14ac:dyDescent="0.3">
      <c r="B265" s="41" t="s">
        <v>2</v>
      </c>
      <c r="C265" s="42" t="s">
        <v>3</v>
      </c>
      <c r="D265" s="41" t="s">
        <v>4</v>
      </c>
      <c r="E265" s="42" t="s">
        <v>552</v>
      </c>
      <c r="F265" s="15" t="s">
        <v>374</v>
      </c>
    </row>
    <row r="266" spans="1:21" ht="16.2" x14ac:dyDescent="0.3">
      <c r="B266" s="78" t="s">
        <v>5</v>
      </c>
      <c r="C266" s="45">
        <v>25</v>
      </c>
      <c r="D266" s="78" t="s">
        <v>423</v>
      </c>
      <c r="E266" s="151" t="s">
        <v>570</v>
      </c>
    </row>
    <row r="267" spans="1:21" ht="16.2" x14ac:dyDescent="0.3">
      <c r="B267" s="78" t="s">
        <v>7</v>
      </c>
      <c r="C267" s="45">
        <v>60</v>
      </c>
      <c r="D267" s="78" t="s">
        <v>424</v>
      </c>
      <c r="E267" s="152"/>
      <c r="F267" s="15" t="s">
        <v>398</v>
      </c>
    </row>
    <row r="268" spans="1:21" ht="16.2" x14ac:dyDescent="0.3">
      <c r="B268" s="78" t="s">
        <v>9</v>
      </c>
      <c r="C268" s="45">
        <v>12</v>
      </c>
      <c r="D268" s="78" t="s">
        <v>425</v>
      </c>
      <c r="E268" s="152"/>
      <c r="F268" s="15" t="s">
        <v>413</v>
      </c>
    </row>
    <row r="269" spans="1:21" ht="16.2" x14ac:dyDescent="0.3">
      <c r="B269" s="78" t="s">
        <v>11</v>
      </c>
      <c r="C269" s="45">
        <v>8</v>
      </c>
      <c r="D269" s="78" t="s">
        <v>426</v>
      </c>
      <c r="E269" s="152"/>
    </row>
    <row r="270" spans="1:21" ht="17.399999999999999" x14ac:dyDescent="0.4">
      <c r="B270" s="78" t="s">
        <v>13</v>
      </c>
      <c r="C270" s="45">
        <v>13</v>
      </c>
      <c r="D270" s="78" t="s">
        <v>427</v>
      </c>
      <c r="E270" s="152"/>
      <c r="F270" s="30" t="s">
        <v>481</v>
      </c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</row>
    <row r="271" spans="1:21" ht="16.2" x14ac:dyDescent="0.3">
      <c r="B271" s="78" t="s">
        <v>15</v>
      </c>
      <c r="C271" s="45">
        <v>-12</v>
      </c>
      <c r="D271" s="78" t="s">
        <v>428</v>
      </c>
      <c r="E271" s="153"/>
    </row>
    <row r="272" spans="1:21" ht="18" x14ac:dyDescent="0.35">
      <c r="B272" s="17"/>
      <c r="C272" s="24"/>
      <c r="D272" s="17"/>
      <c r="F272" s="37" t="s">
        <v>412</v>
      </c>
    </row>
    <row r="273" spans="2:4" ht="15" x14ac:dyDescent="0.3">
      <c r="B273" s="41" t="s">
        <v>113</v>
      </c>
      <c r="C273" s="42" t="s">
        <v>3</v>
      </c>
      <c r="D273" s="41" t="s">
        <v>4</v>
      </c>
    </row>
    <row r="274" spans="2:4" ht="15" x14ac:dyDescent="0.3">
      <c r="B274" s="19" t="s">
        <v>37</v>
      </c>
      <c r="C274" s="25"/>
      <c r="D274" s="19" t="s">
        <v>338</v>
      </c>
    </row>
    <row r="275" spans="2:4" ht="15" x14ac:dyDescent="0.3">
      <c r="B275" s="17"/>
      <c r="C275" s="24"/>
      <c r="D275" s="17"/>
    </row>
    <row r="276" spans="2:4" ht="15" x14ac:dyDescent="0.3">
      <c r="B276" s="41" t="s">
        <v>31</v>
      </c>
      <c r="C276" s="154" t="s">
        <v>4</v>
      </c>
      <c r="D276" s="154"/>
    </row>
    <row r="277" spans="2:4" ht="15" x14ac:dyDescent="0.3">
      <c r="B277" s="19" t="s">
        <v>108</v>
      </c>
      <c r="C277" s="146" t="s">
        <v>373</v>
      </c>
      <c r="D277" s="146"/>
    </row>
    <row r="278" spans="2:4" ht="15" x14ac:dyDescent="0.3">
      <c r="B278" s="19" t="s">
        <v>153</v>
      </c>
      <c r="C278" s="146" t="s">
        <v>375</v>
      </c>
      <c r="D278" s="146"/>
    </row>
    <row r="279" spans="2:4" ht="15" x14ac:dyDescent="0.3">
      <c r="B279" s="19" t="s">
        <v>154</v>
      </c>
      <c r="C279" s="146" t="s">
        <v>376</v>
      </c>
      <c r="D279" s="146"/>
    </row>
    <row r="280" spans="2:4" ht="15" x14ac:dyDescent="0.3">
      <c r="B280" s="19" t="s">
        <v>248</v>
      </c>
      <c r="C280" s="146" t="s">
        <v>377</v>
      </c>
      <c r="D280" s="146"/>
    </row>
    <row r="281" spans="2:4" s="22" customFormat="1" x14ac:dyDescent="0.3">
      <c r="C281" s="27"/>
    </row>
    <row r="290" spans="8:8" x14ac:dyDescent="0.3">
      <c r="H290" s="28"/>
    </row>
  </sheetData>
  <mergeCells count="95">
    <mergeCell ref="B2:C2"/>
    <mergeCell ref="B4:C4"/>
    <mergeCell ref="B3:C3"/>
    <mergeCell ref="C180:D180"/>
    <mergeCell ref="C261:D261"/>
    <mergeCell ref="C254:D254"/>
    <mergeCell ref="C255:D255"/>
    <mergeCell ref="C257:D257"/>
    <mergeCell ref="C258:D258"/>
    <mergeCell ref="C259:D259"/>
    <mergeCell ref="C260:D260"/>
    <mergeCell ref="C173:D173"/>
    <mergeCell ref="C162:D162"/>
    <mergeCell ref="C164:D164"/>
    <mergeCell ref="C236:D236"/>
    <mergeCell ref="C181:D181"/>
    <mergeCell ref="C182:D182"/>
    <mergeCell ref="C183:D183"/>
    <mergeCell ref="C184:D184"/>
    <mergeCell ref="C228:D228"/>
    <mergeCell ref="C229:D229"/>
    <mergeCell ref="C198:D198"/>
    <mergeCell ref="C199:D199"/>
    <mergeCell ref="B134:B135"/>
    <mergeCell ref="C134:C135"/>
    <mergeCell ref="C155:D155"/>
    <mergeCell ref="B136:B137"/>
    <mergeCell ref="C136:C137"/>
    <mergeCell ref="B140:B142"/>
    <mergeCell ref="C140:C142"/>
    <mergeCell ref="C150:D150"/>
    <mergeCell ref="C151:D151"/>
    <mergeCell ref="C152:D152"/>
    <mergeCell ref="C153:D153"/>
    <mergeCell ref="C154:D154"/>
    <mergeCell ref="B47:B49"/>
    <mergeCell ref="C47:C49"/>
    <mergeCell ref="C51:D51"/>
    <mergeCell ref="C52:D52"/>
    <mergeCell ref="C53:D53"/>
    <mergeCell ref="C54:D54"/>
    <mergeCell ref="C148:D148"/>
    <mergeCell ref="C149:D149"/>
    <mergeCell ref="C57:D57"/>
    <mergeCell ref="C58:D58"/>
    <mergeCell ref="C59:D59"/>
    <mergeCell ref="C56:D56"/>
    <mergeCell ref="C166:D166"/>
    <mergeCell ref="C178:D178"/>
    <mergeCell ref="C169:D169"/>
    <mergeCell ref="C170:D170"/>
    <mergeCell ref="C171:D171"/>
    <mergeCell ref="C172:D172"/>
    <mergeCell ref="C174:D174"/>
    <mergeCell ref="C175:D175"/>
    <mergeCell ref="C176:D176"/>
    <mergeCell ref="C177:D177"/>
    <mergeCell ref="C168:D168"/>
    <mergeCell ref="C157:D157"/>
    <mergeCell ref="C158:D158"/>
    <mergeCell ref="C159:D159"/>
    <mergeCell ref="C160:D160"/>
    <mergeCell ref="C165:D165"/>
    <mergeCell ref="C280:D280"/>
    <mergeCell ref="C208:D208"/>
    <mergeCell ref="C276:D276"/>
    <mergeCell ref="C277:D277"/>
    <mergeCell ref="C278:D278"/>
    <mergeCell ref="C279:D279"/>
    <mergeCell ref="C230:D230"/>
    <mergeCell ref="C231:D231"/>
    <mergeCell ref="C233:D233"/>
    <mergeCell ref="C234:D234"/>
    <mergeCell ref="C235:D235"/>
    <mergeCell ref="A6:D6"/>
    <mergeCell ref="A7:B7"/>
    <mergeCell ref="A8:B8"/>
    <mergeCell ref="A9:B9"/>
    <mergeCell ref="A10:B10"/>
    <mergeCell ref="E74:E75"/>
    <mergeCell ref="E266:E271"/>
    <mergeCell ref="A11:B11"/>
    <mergeCell ref="A21:D21"/>
    <mergeCell ref="D13:D19"/>
    <mergeCell ref="C161:D161"/>
    <mergeCell ref="C163:D163"/>
    <mergeCell ref="C202:D202"/>
    <mergeCell ref="C204:D204"/>
    <mergeCell ref="C205:D205"/>
    <mergeCell ref="C206:D206"/>
    <mergeCell ref="C207:D207"/>
    <mergeCell ref="C200:D200"/>
    <mergeCell ref="C201:D201"/>
    <mergeCell ref="C179:D179"/>
    <mergeCell ref="C156:D156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M290"/>
  <sheetViews>
    <sheetView zoomScale="70" zoomScaleNormal="70" workbookViewId="0">
      <selection activeCell="K50" sqref="K50"/>
    </sheetView>
  </sheetViews>
  <sheetFormatPr defaultColWidth="9.109375" defaultRowHeight="14.4" x14ac:dyDescent="0.3"/>
  <cols>
    <col min="1" max="1" width="22.88671875" style="34" customWidth="1"/>
    <col min="2" max="2" width="10.6640625" style="34" bestFit="1" customWidth="1"/>
    <col min="3" max="3" width="18" style="23" bestFit="1" customWidth="1"/>
    <col min="4" max="4" width="75.5546875" style="34" customWidth="1"/>
    <col min="5" max="5" width="19.33203125" style="34" bestFit="1" customWidth="1"/>
    <col min="6" max="6" width="11.109375" style="34" customWidth="1"/>
    <col min="7" max="7" width="9.109375" style="34"/>
    <col min="8" max="8" width="15.5546875" style="34" customWidth="1"/>
    <col min="9" max="16384" width="9.109375" style="34"/>
  </cols>
  <sheetData>
    <row r="1" spans="1:91" ht="16.8" x14ac:dyDescent="0.3">
      <c r="A1" s="29" t="s">
        <v>405</v>
      </c>
    </row>
    <row r="2" spans="1:91" ht="16.8" x14ac:dyDescent="0.3">
      <c r="A2" s="111" t="s">
        <v>542</v>
      </c>
      <c r="B2" s="132" t="s">
        <v>543</v>
      </c>
      <c r="C2" s="133"/>
      <c r="D2" s="115" t="s">
        <v>546</v>
      </c>
    </row>
    <row r="3" spans="1:91" ht="16.8" x14ac:dyDescent="0.3">
      <c r="A3" s="99" t="s">
        <v>542</v>
      </c>
      <c r="B3" s="134" t="s">
        <v>544</v>
      </c>
      <c r="C3" s="134"/>
      <c r="D3" s="117" t="s">
        <v>547</v>
      </c>
    </row>
    <row r="4" spans="1:91" ht="16.8" x14ac:dyDescent="0.3">
      <c r="A4" s="83" t="s">
        <v>411</v>
      </c>
      <c r="B4" s="135" t="s">
        <v>541</v>
      </c>
      <c r="C4" s="136"/>
      <c r="D4" s="116" t="s">
        <v>545</v>
      </c>
    </row>
    <row r="5" spans="1:91" s="22" customFormat="1" ht="16.5" customHeight="1" x14ac:dyDescent="0.3"/>
    <row r="6" spans="1:91" s="22" customFormat="1" ht="16.8" x14ac:dyDescent="0.3">
      <c r="A6" s="140" t="s">
        <v>522</v>
      </c>
      <c r="B6" s="140"/>
      <c r="C6" s="140"/>
      <c r="D6" s="140"/>
    </row>
    <row r="7" spans="1:91" s="22" customFormat="1" ht="16.8" x14ac:dyDescent="0.3">
      <c r="A7" s="138" t="s">
        <v>519</v>
      </c>
      <c r="B7" s="138"/>
      <c r="C7" s="84" t="s">
        <v>504</v>
      </c>
      <c r="D7" s="84" t="s">
        <v>520</v>
      </c>
    </row>
    <row r="8" spans="1:91" s="22" customFormat="1" ht="16.8" x14ac:dyDescent="0.3">
      <c r="A8" s="137" t="s">
        <v>505</v>
      </c>
      <c r="B8" s="137"/>
      <c r="C8" s="85" t="s">
        <v>523</v>
      </c>
      <c r="D8" s="86"/>
    </row>
    <row r="9" spans="1:91" s="22" customFormat="1" ht="16.8" x14ac:dyDescent="0.3">
      <c r="A9" s="141" t="s">
        <v>410</v>
      </c>
      <c r="B9" s="141"/>
      <c r="C9" s="87">
        <v>300</v>
      </c>
      <c r="D9" s="88" t="s">
        <v>516</v>
      </c>
    </row>
    <row r="10" spans="1:91" ht="16.8" x14ac:dyDescent="0.3">
      <c r="A10" s="141" t="s">
        <v>538</v>
      </c>
      <c r="B10" s="141"/>
      <c r="C10" s="89">
        <v>991061</v>
      </c>
      <c r="D10" s="90" t="s">
        <v>518</v>
      </c>
      <c r="E10" s="22"/>
    </row>
    <row r="11" spans="1:91" ht="16.8" x14ac:dyDescent="0.3">
      <c r="A11" s="141" t="s">
        <v>539</v>
      </c>
      <c r="B11" s="141"/>
      <c r="C11" s="89">
        <v>191061</v>
      </c>
      <c r="D11" s="90" t="s">
        <v>517</v>
      </c>
      <c r="E11" s="22"/>
    </row>
    <row r="12" spans="1:91" ht="16.8" x14ac:dyDescent="0.3">
      <c r="A12" s="47"/>
      <c r="B12" s="48"/>
      <c r="C12" s="48"/>
      <c r="D12" s="48"/>
      <c r="E12" s="22"/>
    </row>
    <row r="13" spans="1:91" ht="16.8" x14ac:dyDescent="0.3">
      <c r="A13" s="47"/>
      <c r="B13" s="48"/>
      <c r="C13" s="48"/>
      <c r="D13" s="139" t="s">
        <v>521</v>
      </c>
      <c r="E13" s="89" t="str">
        <f>"//"&amp;$C$8</f>
        <v>//Khai Long WPP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1"/>
    </row>
    <row r="14" spans="1:91" ht="16.8" x14ac:dyDescent="0.3">
      <c r="A14" s="47"/>
      <c r="B14" s="48"/>
      <c r="C14" s="48"/>
      <c r="D14" s="139"/>
      <c r="E14" s="89">
        <f>$C$10</f>
        <v>991061</v>
      </c>
      <c r="F14" s="93" t="s">
        <v>506</v>
      </c>
      <c r="G14" s="93">
        <v>1</v>
      </c>
      <c r="H14" s="93" t="s">
        <v>524</v>
      </c>
      <c r="I14" s="93">
        <v>101</v>
      </c>
      <c r="J14" s="93">
        <v>1</v>
      </c>
      <c r="K14" s="93">
        <v>2</v>
      </c>
      <c r="L14" s="93">
        <v>18</v>
      </c>
      <c r="M14" s="93">
        <v>3</v>
      </c>
      <c r="N14" s="93">
        <v>3</v>
      </c>
      <c r="O14" s="94">
        <f>C46</f>
        <v>200</v>
      </c>
      <c r="P14" s="95">
        <f>C47</f>
        <v>0</v>
      </c>
      <c r="Q14" s="95">
        <f t="array" ref="Q14:AH14">TRANSPOSE(C26:C43)</f>
        <v>1.5</v>
      </c>
      <c r="R14" s="96">
        <v>0.8</v>
      </c>
      <c r="S14" s="95">
        <v>0.5</v>
      </c>
      <c r="T14" s="95">
        <v>0.9</v>
      </c>
      <c r="U14" s="95">
        <v>1.22</v>
      </c>
      <c r="V14" s="95">
        <v>1.2</v>
      </c>
      <c r="W14" s="95">
        <v>2</v>
      </c>
      <c r="X14" s="95">
        <v>0.4</v>
      </c>
      <c r="Y14" s="95">
        <v>0.8</v>
      </c>
      <c r="Z14" s="95">
        <v>10</v>
      </c>
      <c r="AA14" s="95">
        <v>0.02</v>
      </c>
      <c r="AB14" s="95">
        <v>0</v>
      </c>
      <c r="AC14" s="95">
        <v>0</v>
      </c>
      <c r="AD14" s="95">
        <v>0.5</v>
      </c>
      <c r="AE14" s="95">
        <v>0.16700000000000001</v>
      </c>
      <c r="AF14" s="95">
        <v>0.9</v>
      </c>
      <c r="AG14" s="95">
        <v>0.92500000000000004</v>
      </c>
      <c r="AH14" s="95">
        <v>0</v>
      </c>
      <c r="AI14" s="97" t="s">
        <v>508</v>
      </c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</row>
    <row r="15" spans="1:91" ht="16.8" x14ac:dyDescent="0.3">
      <c r="A15" s="47"/>
      <c r="B15" s="48"/>
      <c r="C15" s="48"/>
      <c r="D15" s="139"/>
      <c r="E15" s="89">
        <f t="shared" ref="E15:E19" si="0">$C$10</f>
        <v>991061</v>
      </c>
      <c r="F15" s="93" t="s">
        <v>506</v>
      </c>
      <c r="G15" s="93">
        <v>1</v>
      </c>
      <c r="H15" s="93" t="s">
        <v>525</v>
      </c>
      <c r="I15" s="93">
        <v>102</v>
      </c>
      <c r="J15" s="93">
        <v>0</v>
      </c>
      <c r="K15" s="93">
        <v>9</v>
      </c>
      <c r="L15" s="93">
        <v>67</v>
      </c>
      <c r="M15" s="93">
        <v>18</v>
      </c>
      <c r="N15" s="93">
        <v>16</v>
      </c>
      <c r="O15" s="96">
        <f>C11</f>
        <v>191061</v>
      </c>
      <c r="P15" s="93">
        <v>0</v>
      </c>
      <c r="Q15" s="93">
        <v>1</v>
      </c>
      <c r="R15" s="93">
        <v>0</v>
      </c>
      <c r="S15" s="93">
        <v>0</v>
      </c>
      <c r="T15" s="96">
        <f>C11</f>
        <v>191061</v>
      </c>
      <c r="U15" s="96">
        <f>C10</f>
        <v>991061</v>
      </c>
      <c r="V15" s="97" t="s">
        <v>530</v>
      </c>
      <c r="W15" s="93">
        <v>1</v>
      </c>
      <c r="X15" s="95">
        <f t="array" ref="X15:CL15">TRANSPOSE(C64:C130)</f>
        <v>0.15</v>
      </c>
      <c r="Y15" s="95">
        <v>18</v>
      </c>
      <c r="Z15" s="95">
        <v>5</v>
      </c>
      <c r="AA15" s="95">
        <v>0</v>
      </c>
      <c r="AB15" s="95">
        <v>0</v>
      </c>
      <c r="AC15" s="95">
        <v>0.05</v>
      </c>
      <c r="AD15" s="95">
        <v>3</v>
      </c>
      <c r="AE15" s="95">
        <v>0.85</v>
      </c>
      <c r="AF15" s="95">
        <v>1</v>
      </c>
      <c r="AG15" s="95">
        <v>0.04</v>
      </c>
      <c r="AH15" s="96">
        <v>0.29799999999999999</v>
      </c>
      <c r="AI15" s="96">
        <v>-0.29799999999999999</v>
      </c>
      <c r="AJ15" s="95">
        <v>1.1200000000000001</v>
      </c>
      <c r="AK15" s="95">
        <v>0.02</v>
      </c>
      <c r="AL15" s="95">
        <v>0.45</v>
      </c>
      <c r="AM15" s="95">
        <v>-0.45</v>
      </c>
      <c r="AN15" s="95">
        <v>60</v>
      </c>
      <c r="AO15" s="95">
        <v>0.1</v>
      </c>
      <c r="AP15" s="95">
        <v>0.9</v>
      </c>
      <c r="AQ15" s="95">
        <v>1.1000000000000001</v>
      </c>
      <c r="AR15" s="95">
        <v>40</v>
      </c>
      <c r="AS15" s="95">
        <v>0.5</v>
      </c>
      <c r="AT15" s="95">
        <v>1.45</v>
      </c>
      <c r="AU15" s="95">
        <v>0.05</v>
      </c>
      <c r="AV15" s="95">
        <v>0.05</v>
      </c>
      <c r="AW15" s="95">
        <v>1</v>
      </c>
      <c r="AX15" s="95">
        <v>0.15</v>
      </c>
      <c r="AY15" s="95">
        <v>0.96</v>
      </c>
      <c r="AZ15" s="95">
        <v>0.996</v>
      </c>
      <c r="BA15" s="95">
        <v>1.004</v>
      </c>
      <c r="BB15" s="95">
        <v>1.04</v>
      </c>
      <c r="BC15" s="95">
        <v>1</v>
      </c>
      <c r="BD15" s="95">
        <v>0.95</v>
      </c>
      <c r="BE15" s="95">
        <v>0.95</v>
      </c>
      <c r="BF15" s="95">
        <v>0.4</v>
      </c>
      <c r="BG15" s="95">
        <v>1</v>
      </c>
      <c r="BH15" s="95">
        <v>0.2</v>
      </c>
      <c r="BI15" s="95">
        <v>1</v>
      </c>
      <c r="BJ15" s="95">
        <v>0.25</v>
      </c>
      <c r="BK15" s="95">
        <v>-1</v>
      </c>
      <c r="BL15" s="98">
        <v>15</v>
      </c>
      <c r="BM15" s="98">
        <v>25</v>
      </c>
      <c r="BN15" s="98">
        <v>3</v>
      </c>
      <c r="BO15" s="95">
        <v>-0.9</v>
      </c>
      <c r="BP15" s="95">
        <v>8</v>
      </c>
      <c r="BQ15" s="95">
        <v>0.2</v>
      </c>
      <c r="BR15" s="95">
        <v>10</v>
      </c>
      <c r="BS15" s="95">
        <v>1</v>
      </c>
      <c r="BT15" s="95">
        <v>1.7</v>
      </c>
      <c r="BU15" s="95">
        <v>1.1200000000000001</v>
      </c>
      <c r="BV15" s="95">
        <v>1.25</v>
      </c>
      <c r="BW15" s="95">
        <v>5</v>
      </c>
      <c r="BX15" s="95">
        <v>0</v>
      </c>
      <c r="BY15" s="95">
        <v>0</v>
      </c>
      <c r="BZ15" s="95">
        <v>0</v>
      </c>
      <c r="CA15" s="95">
        <v>2.5000000000000001E-3</v>
      </c>
      <c r="CB15" s="95">
        <v>1</v>
      </c>
      <c r="CC15" s="95">
        <v>5.5</v>
      </c>
      <c r="CD15" s="95">
        <v>0.1</v>
      </c>
      <c r="CE15" s="95">
        <v>-1</v>
      </c>
      <c r="CF15" s="95">
        <v>0.1</v>
      </c>
      <c r="CG15" s="95">
        <v>0</v>
      </c>
      <c r="CH15" s="95">
        <v>0.1</v>
      </c>
      <c r="CI15" s="95">
        <v>-0.1</v>
      </c>
      <c r="CJ15" s="95">
        <v>0.7</v>
      </c>
      <c r="CK15" s="95">
        <v>0.12</v>
      </c>
      <c r="CL15" s="95">
        <v>-0.12</v>
      </c>
      <c r="CM15" s="93" t="s">
        <v>508</v>
      </c>
    </row>
    <row r="16" spans="1:91" ht="16.8" x14ac:dyDescent="0.3">
      <c r="A16" s="47"/>
      <c r="B16" s="48"/>
      <c r="C16" s="48"/>
      <c r="D16" s="139"/>
      <c r="E16" s="89">
        <f t="shared" si="0"/>
        <v>991061</v>
      </c>
      <c r="F16" s="93" t="s">
        <v>506</v>
      </c>
      <c r="G16" s="93">
        <v>1</v>
      </c>
      <c r="H16" s="93" t="s">
        <v>526</v>
      </c>
      <c r="I16" s="93">
        <v>103</v>
      </c>
      <c r="J16" s="93">
        <v>0</v>
      </c>
      <c r="K16" s="93">
        <v>1</v>
      </c>
      <c r="L16" s="93">
        <v>5</v>
      </c>
      <c r="M16" s="93">
        <v>4</v>
      </c>
      <c r="N16" s="93">
        <v>3</v>
      </c>
      <c r="O16" s="93">
        <v>0</v>
      </c>
      <c r="P16" s="94">
        <f t="array" ref="P16:T16">TRANSPOSE(C189:C193)</f>
        <v>9</v>
      </c>
      <c r="Q16" s="95">
        <v>0</v>
      </c>
      <c r="R16" s="95">
        <v>0</v>
      </c>
      <c r="S16" s="95">
        <v>1.246</v>
      </c>
      <c r="T16" s="95">
        <v>1.5</v>
      </c>
      <c r="U16" s="97" t="s">
        <v>508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</row>
    <row r="17" spans="1:91" ht="16.8" x14ac:dyDescent="0.3">
      <c r="A17" s="47"/>
      <c r="B17" s="48"/>
      <c r="C17" s="48"/>
      <c r="D17" s="139"/>
      <c r="E17" s="89">
        <f t="shared" si="0"/>
        <v>991061</v>
      </c>
      <c r="F17" s="93" t="s">
        <v>506</v>
      </c>
      <c r="G17" s="93">
        <v>1</v>
      </c>
      <c r="H17" s="93" t="s">
        <v>527</v>
      </c>
      <c r="I17" s="93">
        <v>104</v>
      </c>
      <c r="J17" s="93">
        <v>0</v>
      </c>
      <c r="K17" s="93">
        <v>2</v>
      </c>
      <c r="L17" s="93">
        <v>10</v>
      </c>
      <c r="M17" s="93">
        <v>3</v>
      </c>
      <c r="N17" s="93">
        <v>3</v>
      </c>
      <c r="O17" s="93">
        <v>0</v>
      </c>
      <c r="P17" s="93">
        <v>0</v>
      </c>
      <c r="Q17" s="95">
        <f t="array" ref="Q17:Z17">TRANSPOSE(C213:C222)</f>
        <v>0.3</v>
      </c>
      <c r="R17" s="95">
        <v>150</v>
      </c>
      <c r="S17" s="95">
        <v>25</v>
      </c>
      <c r="T17" s="95">
        <v>3</v>
      </c>
      <c r="U17" s="95">
        <v>30</v>
      </c>
      <c r="V17" s="95">
        <v>-4</v>
      </c>
      <c r="W17" s="95">
        <v>27</v>
      </c>
      <c r="X17" s="95">
        <v>-10</v>
      </c>
      <c r="Y17" s="95">
        <v>10</v>
      </c>
      <c r="Z17" s="95">
        <v>1</v>
      </c>
      <c r="AA17" s="97" t="s">
        <v>508</v>
      </c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</row>
    <row r="18" spans="1:91" ht="16.8" x14ac:dyDescent="0.3">
      <c r="A18" s="47"/>
      <c r="B18" s="48"/>
      <c r="C18" s="48"/>
      <c r="D18" s="139"/>
      <c r="E18" s="89">
        <f t="shared" si="0"/>
        <v>991061</v>
      </c>
      <c r="F18" s="93" t="s">
        <v>506</v>
      </c>
      <c r="G18" s="93">
        <v>1</v>
      </c>
      <c r="H18" s="93" t="s">
        <v>528</v>
      </c>
      <c r="I18" s="93">
        <v>105</v>
      </c>
      <c r="J18" s="93">
        <v>0</v>
      </c>
      <c r="K18" s="93">
        <v>1</v>
      </c>
      <c r="L18" s="93">
        <v>9</v>
      </c>
      <c r="M18" s="93">
        <v>1</v>
      </c>
      <c r="N18" s="93">
        <v>4</v>
      </c>
      <c r="O18" s="93">
        <v>0</v>
      </c>
      <c r="P18" s="95">
        <f t="array" ref="P18:X18">TRANSPOSE(C241:C249)</f>
        <v>20</v>
      </c>
      <c r="Q18" s="95">
        <v>0</v>
      </c>
      <c r="R18" s="95">
        <v>27</v>
      </c>
      <c r="S18" s="95">
        <v>-4</v>
      </c>
      <c r="T18" s="95">
        <v>0</v>
      </c>
      <c r="U18" s="96">
        <v>1.2250000000000001</v>
      </c>
      <c r="V18" s="96">
        <v>35.25</v>
      </c>
      <c r="W18" s="96">
        <v>72</v>
      </c>
      <c r="X18" s="96">
        <v>1200</v>
      </c>
      <c r="Y18" s="97" t="s">
        <v>508</v>
      </c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</row>
    <row r="19" spans="1:91" ht="16.8" x14ac:dyDescent="0.3">
      <c r="A19" s="47"/>
      <c r="B19" s="48"/>
      <c r="C19" s="48"/>
      <c r="D19" s="139"/>
      <c r="E19" s="89">
        <f t="shared" si="0"/>
        <v>991061</v>
      </c>
      <c r="F19" s="93" t="s">
        <v>506</v>
      </c>
      <c r="G19" s="93">
        <v>1</v>
      </c>
      <c r="H19" s="93" t="s">
        <v>529</v>
      </c>
      <c r="I19" s="93">
        <v>106</v>
      </c>
      <c r="J19" s="93">
        <v>0</v>
      </c>
      <c r="K19" s="93">
        <v>1</v>
      </c>
      <c r="L19" s="93">
        <v>6</v>
      </c>
      <c r="M19" s="93">
        <v>0</v>
      </c>
      <c r="N19" s="93">
        <v>4</v>
      </c>
      <c r="O19" s="93">
        <v>0</v>
      </c>
      <c r="P19" s="94">
        <f t="array" ref="P19:U19">TRANSPOSE(C266:C271)</f>
        <v>9999</v>
      </c>
      <c r="Q19" s="94">
        <v>35</v>
      </c>
      <c r="R19" s="94">
        <v>-12</v>
      </c>
      <c r="S19" s="94">
        <v>9999</v>
      </c>
      <c r="T19" s="94">
        <v>9999</v>
      </c>
      <c r="U19" s="94">
        <v>0</v>
      </c>
      <c r="V19" s="97" t="s">
        <v>508</v>
      </c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</row>
    <row r="20" spans="1:91" s="22" customFormat="1" ht="16.5" customHeight="1" x14ac:dyDescent="0.3"/>
    <row r="21" spans="1:91" s="20" customFormat="1" ht="16.95" customHeight="1" x14ac:dyDescent="0.4">
      <c r="A21" s="142" t="s">
        <v>514</v>
      </c>
      <c r="B21" s="142"/>
      <c r="C21" s="142"/>
      <c r="D21" s="142"/>
    </row>
    <row r="22" spans="1:91" s="22" customFormat="1" ht="16.5" customHeight="1" x14ac:dyDescent="0.3"/>
    <row r="23" spans="1:91" ht="16.2" x14ac:dyDescent="0.35">
      <c r="A23" s="5" t="s">
        <v>137</v>
      </c>
      <c r="B23" s="35"/>
      <c r="C23" s="36"/>
      <c r="D23" s="35"/>
    </row>
    <row r="24" spans="1:91" x14ac:dyDescent="0.3">
      <c r="B24" s="40" t="s">
        <v>138</v>
      </c>
    </row>
    <row r="25" spans="1:91" ht="15" x14ac:dyDescent="0.3">
      <c r="B25" s="38" t="s">
        <v>2</v>
      </c>
      <c r="C25" s="39" t="s">
        <v>3</v>
      </c>
      <c r="D25" s="38" t="s">
        <v>4</v>
      </c>
      <c r="E25" s="42" t="s">
        <v>552</v>
      </c>
      <c r="F25" s="51" t="s">
        <v>161</v>
      </c>
    </row>
    <row r="26" spans="1:91" ht="16.2" x14ac:dyDescent="0.3">
      <c r="B26" s="72" t="s">
        <v>5</v>
      </c>
      <c r="C26" s="46">
        <v>1.5</v>
      </c>
      <c r="D26" s="72" t="s">
        <v>414</v>
      </c>
      <c r="E26" s="119"/>
    </row>
    <row r="27" spans="1:91" ht="16.2" x14ac:dyDescent="0.3">
      <c r="B27" s="72" t="s">
        <v>7</v>
      </c>
      <c r="C27" s="45">
        <v>0.8</v>
      </c>
      <c r="D27" s="72" t="s">
        <v>415</v>
      </c>
      <c r="E27" s="119"/>
      <c r="F27" s="21" t="s">
        <v>484</v>
      </c>
    </row>
    <row r="28" spans="1:91" ht="16.2" x14ac:dyDescent="0.3">
      <c r="B28" s="72" t="s">
        <v>9</v>
      </c>
      <c r="C28" s="46">
        <v>0.5</v>
      </c>
      <c r="D28" s="72" t="s">
        <v>416</v>
      </c>
      <c r="E28" s="119"/>
      <c r="F28" s="21" t="s">
        <v>483</v>
      </c>
    </row>
    <row r="29" spans="1:91" ht="16.2" x14ac:dyDescent="0.3">
      <c r="B29" s="72" t="s">
        <v>11</v>
      </c>
      <c r="C29" s="46">
        <v>0.9</v>
      </c>
      <c r="D29" s="72" t="s">
        <v>417</v>
      </c>
      <c r="E29" s="119"/>
      <c r="F29" s="51" t="s">
        <v>378</v>
      </c>
    </row>
    <row r="30" spans="1:91" ht="16.2" x14ac:dyDescent="0.3">
      <c r="B30" s="72" t="s">
        <v>13</v>
      </c>
      <c r="C30" s="46">
        <v>1.22</v>
      </c>
      <c r="D30" s="72" t="s">
        <v>418</v>
      </c>
      <c r="E30" s="119"/>
      <c r="F30" s="51" t="s">
        <v>379</v>
      </c>
    </row>
    <row r="31" spans="1:91" ht="15" x14ac:dyDescent="0.3">
      <c r="B31" s="72" t="s">
        <v>15</v>
      </c>
      <c r="C31" s="46">
        <v>1.2</v>
      </c>
      <c r="D31" s="72" t="s">
        <v>156</v>
      </c>
      <c r="E31" s="119"/>
    </row>
    <row r="32" spans="1:91" ht="16.2" x14ac:dyDescent="0.3">
      <c r="B32" s="72" t="s">
        <v>17</v>
      </c>
      <c r="C32" s="46">
        <v>2</v>
      </c>
      <c r="D32" s="72" t="s">
        <v>419</v>
      </c>
      <c r="E32" s="119"/>
    </row>
    <row r="33" spans="2:17" ht="16.2" x14ac:dyDescent="0.35">
      <c r="B33" s="72" t="s">
        <v>19</v>
      </c>
      <c r="C33" s="46">
        <v>0.4</v>
      </c>
      <c r="D33" s="72" t="s">
        <v>420</v>
      </c>
      <c r="E33" s="119"/>
      <c r="F33" s="30" t="s">
        <v>408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2:17" ht="15" x14ac:dyDescent="0.3">
      <c r="B34" s="72" t="s">
        <v>21</v>
      </c>
      <c r="C34" s="46">
        <v>0.8</v>
      </c>
      <c r="D34" s="72" t="s">
        <v>139</v>
      </c>
      <c r="E34" s="119"/>
      <c r="F34" s="33" t="s">
        <v>406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</row>
    <row r="35" spans="2:17" ht="15" x14ac:dyDescent="0.3">
      <c r="B35" s="72" t="s">
        <v>53</v>
      </c>
      <c r="C35" s="46">
        <v>10</v>
      </c>
      <c r="D35" s="72" t="s">
        <v>140</v>
      </c>
      <c r="E35" s="119"/>
      <c r="F35" s="33" t="s">
        <v>407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</row>
    <row r="36" spans="2:17" ht="15" x14ac:dyDescent="0.3">
      <c r="B36" s="72" t="s">
        <v>55</v>
      </c>
      <c r="C36" s="46">
        <v>0.02</v>
      </c>
      <c r="D36" s="72" t="s">
        <v>22</v>
      </c>
      <c r="E36" s="119"/>
    </row>
    <row r="37" spans="2:17" ht="15" x14ac:dyDescent="0.3">
      <c r="B37" s="72" t="s">
        <v>57</v>
      </c>
      <c r="C37" s="46">
        <v>0</v>
      </c>
      <c r="D37" s="72" t="s">
        <v>141</v>
      </c>
      <c r="E37" s="119"/>
    </row>
    <row r="38" spans="2:17" ht="15" x14ac:dyDescent="0.3">
      <c r="B38" s="72" t="s">
        <v>59</v>
      </c>
      <c r="C38" s="46">
        <v>0</v>
      </c>
      <c r="D38" s="72" t="s">
        <v>142</v>
      </c>
      <c r="E38" s="119"/>
    </row>
    <row r="39" spans="2:17" ht="15" x14ac:dyDescent="0.3">
      <c r="B39" s="72" t="s">
        <v>61</v>
      </c>
      <c r="C39" s="46">
        <v>0.5</v>
      </c>
      <c r="D39" s="72" t="s">
        <v>143</v>
      </c>
      <c r="E39" s="119"/>
    </row>
    <row r="40" spans="2:17" ht="15" x14ac:dyDescent="0.3">
      <c r="B40" s="72" t="s">
        <v>63</v>
      </c>
      <c r="C40" s="46">
        <v>0.16700000000000001</v>
      </c>
      <c r="D40" s="72" t="s">
        <v>144</v>
      </c>
      <c r="E40" s="119"/>
    </row>
    <row r="41" spans="2:17" ht="15" x14ac:dyDescent="0.3">
      <c r="B41" s="72" t="s">
        <v>65</v>
      </c>
      <c r="C41" s="46">
        <v>0.9</v>
      </c>
      <c r="D41" s="72" t="s">
        <v>145</v>
      </c>
      <c r="E41" s="119"/>
    </row>
    <row r="42" spans="2:17" ht="15" x14ac:dyDescent="0.3">
      <c r="B42" s="72" t="s">
        <v>67</v>
      </c>
      <c r="C42" s="46">
        <v>0.92500000000000004</v>
      </c>
      <c r="D42" s="72" t="s">
        <v>146</v>
      </c>
      <c r="E42" s="119"/>
    </row>
    <row r="43" spans="2:17" ht="15" x14ac:dyDescent="0.3">
      <c r="B43" s="72" t="s">
        <v>69</v>
      </c>
      <c r="C43" s="46">
        <v>0</v>
      </c>
      <c r="D43" s="72" t="s">
        <v>147</v>
      </c>
      <c r="E43" s="119"/>
    </row>
    <row r="44" spans="2:17" ht="15" x14ac:dyDescent="0.3">
      <c r="B44" s="73"/>
      <c r="C44" s="24"/>
      <c r="D44" s="73"/>
    </row>
    <row r="45" spans="2:17" ht="15" x14ac:dyDescent="0.3">
      <c r="B45" s="74" t="s">
        <v>113</v>
      </c>
      <c r="C45" s="42" t="s">
        <v>3</v>
      </c>
      <c r="D45" s="74" t="s">
        <v>4</v>
      </c>
      <c r="E45" s="42" t="s">
        <v>552</v>
      </c>
    </row>
    <row r="46" spans="2:17" ht="15" x14ac:dyDescent="0.3">
      <c r="B46" s="76" t="s">
        <v>37</v>
      </c>
      <c r="C46" s="45">
        <f>ROUNDUP(C9/C26,0)</f>
        <v>200</v>
      </c>
      <c r="D46" s="76" t="s">
        <v>148</v>
      </c>
      <c r="E46" s="119"/>
    </row>
    <row r="47" spans="2:17" ht="15" x14ac:dyDescent="0.3">
      <c r="B47" s="155" t="s">
        <v>39</v>
      </c>
      <c r="C47" s="156">
        <v>0</v>
      </c>
      <c r="D47" s="76" t="s">
        <v>149</v>
      </c>
      <c r="E47" s="119"/>
    </row>
    <row r="48" spans="2:17" ht="15" x14ac:dyDescent="0.3">
      <c r="B48" s="155"/>
      <c r="C48" s="157"/>
      <c r="D48" s="77" t="s">
        <v>157</v>
      </c>
      <c r="E48" s="119"/>
    </row>
    <row r="49" spans="1:6" ht="15" x14ac:dyDescent="0.3">
      <c r="B49" s="155"/>
      <c r="C49" s="158"/>
      <c r="D49" s="77" t="s">
        <v>158</v>
      </c>
      <c r="E49" s="119"/>
    </row>
    <row r="50" spans="1:6" ht="15" x14ac:dyDescent="0.3">
      <c r="B50" s="17"/>
      <c r="C50" s="24"/>
      <c r="D50" s="17"/>
    </row>
    <row r="51" spans="1:6" ht="15" x14ac:dyDescent="0.3">
      <c r="B51" s="61" t="s">
        <v>150</v>
      </c>
      <c r="C51" s="154" t="s">
        <v>4</v>
      </c>
      <c r="D51" s="154"/>
    </row>
    <row r="52" spans="1:6" ht="15" x14ac:dyDescent="0.3">
      <c r="B52" s="60" t="s">
        <v>25</v>
      </c>
      <c r="C52" s="146" t="s">
        <v>26</v>
      </c>
      <c r="D52" s="146"/>
    </row>
    <row r="53" spans="1:6" ht="15" x14ac:dyDescent="0.3">
      <c r="B53" s="60" t="s">
        <v>27</v>
      </c>
      <c r="C53" s="146" t="s">
        <v>151</v>
      </c>
      <c r="D53" s="146"/>
    </row>
    <row r="54" spans="1:6" ht="15" x14ac:dyDescent="0.3">
      <c r="B54" s="60" t="s">
        <v>29</v>
      </c>
      <c r="C54" s="146" t="s">
        <v>152</v>
      </c>
      <c r="D54" s="146"/>
    </row>
    <row r="55" spans="1:6" ht="15" x14ac:dyDescent="0.3">
      <c r="B55" s="17"/>
      <c r="C55" s="24"/>
      <c r="D55" s="17"/>
    </row>
    <row r="56" spans="1:6" ht="15" x14ac:dyDescent="0.3">
      <c r="B56" s="61" t="s">
        <v>31</v>
      </c>
      <c r="C56" s="154" t="s">
        <v>4</v>
      </c>
      <c r="D56" s="154"/>
    </row>
    <row r="57" spans="1:6" ht="15" x14ac:dyDescent="0.3">
      <c r="B57" s="60" t="s">
        <v>108</v>
      </c>
      <c r="C57" s="146" t="s">
        <v>159</v>
      </c>
      <c r="D57" s="146"/>
    </row>
    <row r="58" spans="1:6" ht="15" x14ac:dyDescent="0.3">
      <c r="B58" s="60" t="s">
        <v>153</v>
      </c>
      <c r="C58" s="146" t="s">
        <v>160</v>
      </c>
      <c r="D58" s="146"/>
    </row>
    <row r="59" spans="1:6" ht="15" x14ac:dyDescent="0.3">
      <c r="B59" s="60" t="s">
        <v>154</v>
      </c>
      <c r="C59" s="146" t="s">
        <v>155</v>
      </c>
      <c r="D59" s="146"/>
    </row>
    <row r="60" spans="1:6" s="20" customFormat="1" x14ac:dyDescent="0.3">
      <c r="C60" s="26"/>
    </row>
    <row r="61" spans="1:6" ht="16.2" x14ac:dyDescent="0.35">
      <c r="A61" s="5" t="s">
        <v>162</v>
      </c>
    </row>
    <row r="62" spans="1:6" x14ac:dyDescent="0.3">
      <c r="B62" s="40" t="s">
        <v>163</v>
      </c>
    </row>
    <row r="63" spans="1:6" ht="15" x14ac:dyDescent="0.3">
      <c r="B63" s="41" t="s">
        <v>2</v>
      </c>
      <c r="C63" s="42" t="s">
        <v>3</v>
      </c>
      <c r="D63" s="41" t="s">
        <v>4</v>
      </c>
      <c r="E63" s="42" t="s">
        <v>552</v>
      </c>
      <c r="F63" s="51" t="s">
        <v>274</v>
      </c>
    </row>
    <row r="64" spans="1:6" ht="16.2" x14ac:dyDescent="0.3">
      <c r="B64" s="76" t="s">
        <v>5</v>
      </c>
      <c r="C64" s="49">
        <v>0.15</v>
      </c>
      <c r="D64" s="76" t="s">
        <v>275</v>
      </c>
      <c r="E64" s="119"/>
    </row>
    <row r="65" spans="2:6" ht="16.2" x14ac:dyDescent="0.3">
      <c r="B65" s="76" t="s">
        <v>7</v>
      </c>
      <c r="C65" s="49">
        <v>18</v>
      </c>
      <c r="D65" s="76" t="s">
        <v>276</v>
      </c>
      <c r="E65" s="119"/>
      <c r="F65" s="15" t="s">
        <v>485</v>
      </c>
    </row>
    <row r="66" spans="2:6" ht="16.2" x14ac:dyDescent="0.3">
      <c r="B66" s="76" t="s">
        <v>9</v>
      </c>
      <c r="C66" s="49">
        <v>5</v>
      </c>
      <c r="D66" s="76" t="s">
        <v>277</v>
      </c>
      <c r="E66" s="119"/>
      <c r="F66" s="15" t="s">
        <v>486</v>
      </c>
    </row>
    <row r="67" spans="2:6" ht="16.2" x14ac:dyDescent="0.3">
      <c r="B67" s="76" t="s">
        <v>11</v>
      </c>
      <c r="C67" s="49">
        <v>0</v>
      </c>
      <c r="D67" s="76" t="s">
        <v>278</v>
      </c>
      <c r="E67" s="119"/>
      <c r="F67" s="51" t="s">
        <v>380</v>
      </c>
    </row>
    <row r="68" spans="2:6" ht="16.2" x14ac:dyDescent="0.3">
      <c r="B68" s="76" t="s">
        <v>13</v>
      </c>
      <c r="C68" s="49">
        <v>0</v>
      </c>
      <c r="D68" s="76" t="s">
        <v>279</v>
      </c>
      <c r="E68" s="119"/>
      <c r="F68" s="51" t="s">
        <v>381</v>
      </c>
    </row>
    <row r="69" spans="2:6" ht="16.2" x14ac:dyDescent="0.3">
      <c r="B69" s="76" t="s">
        <v>15</v>
      </c>
      <c r="C69" s="49">
        <v>0.05</v>
      </c>
      <c r="D69" s="76" t="s">
        <v>280</v>
      </c>
      <c r="E69" s="119"/>
      <c r="F69" s="51" t="s">
        <v>382</v>
      </c>
    </row>
    <row r="70" spans="2:6" ht="16.2" x14ac:dyDescent="0.3">
      <c r="B70" s="76" t="s">
        <v>17</v>
      </c>
      <c r="C70" s="49">
        <v>3</v>
      </c>
      <c r="D70" s="76" t="s">
        <v>281</v>
      </c>
      <c r="E70" s="119"/>
      <c r="F70" s="51" t="s">
        <v>383</v>
      </c>
    </row>
    <row r="71" spans="2:6" ht="16.2" x14ac:dyDescent="0.3">
      <c r="B71" s="76" t="s">
        <v>19</v>
      </c>
      <c r="C71" s="49">
        <v>0.85</v>
      </c>
      <c r="D71" s="76" t="s">
        <v>282</v>
      </c>
      <c r="E71" s="119"/>
      <c r="F71" s="51" t="s">
        <v>384</v>
      </c>
    </row>
    <row r="72" spans="2:6" ht="16.2" x14ac:dyDescent="0.3">
      <c r="B72" s="76" t="s">
        <v>21</v>
      </c>
      <c r="C72" s="49">
        <v>1</v>
      </c>
      <c r="D72" s="76" t="s">
        <v>283</v>
      </c>
      <c r="E72" s="119"/>
      <c r="F72" s="51" t="s">
        <v>385</v>
      </c>
    </row>
    <row r="73" spans="2:6" ht="16.2" x14ac:dyDescent="0.3">
      <c r="B73" s="76" t="s">
        <v>53</v>
      </c>
      <c r="C73" s="49">
        <v>0.04</v>
      </c>
      <c r="D73" s="76" t="s">
        <v>284</v>
      </c>
      <c r="E73" s="119"/>
      <c r="F73" s="51" t="s">
        <v>386</v>
      </c>
    </row>
    <row r="74" spans="2:6" ht="16.2" x14ac:dyDescent="0.3">
      <c r="B74" s="76" t="s">
        <v>55</v>
      </c>
      <c r="C74" s="45">
        <v>0.29799999999999999</v>
      </c>
      <c r="D74" s="76" t="s">
        <v>285</v>
      </c>
      <c r="E74" s="119"/>
      <c r="F74" s="51" t="s">
        <v>387</v>
      </c>
    </row>
    <row r="75" spans="2:6" ht="16.2" x14ac:dyDescent="0.3">
      <c r="B75" s="76" t="s">
        <v>57</v>
      </c>
      <c r="C75" s="45">
        <v>-0.29799999999999999</v>
      </c>
      <c r="D75" s="76" t="s">
        <v>286</v>
      </c>
      <c r="E75" s="119"/>
      <c r="F75" s="15" t="s">
        <v>487</v>
      </c>
    </row>
    <row r="76" spans="2:6" ht="16.2" x14ac:dyDescent="0.3">
      <c r="B76" s="76" t="s">
        <v>59</v>
      </c>
      <c r="C76" s="49">
        <v>1.1200000000000001</v>
      </c>
      <c r="D76" s="76" t="s">
        <v>287</v>
      </c>
      <c r="E76" s="119"/>
      <c r="F76" s="51" t="s">
        <v>388</v>
      </c>
    </row>
    <row r="77" spans="2:6" ht="16.2" x14ac:dyDescent="0.3">
      <c r="B77" s="76" t="s">
        <v>61</v>
      </c>
      <c r="C77" s="49">
        <v>0.02</v>
      </c>
      <c r="D77" s="76" t="s">
        <v>288</v>
      </c>
      <c r="E77" s="119"/>
      <c r="F77" s="51" t="s">
        <v>389</v>
      </c>
    </row>
    <row r="78" spans="2:6" ht="16.2" x14ac:dyDescent="0.3">
      <c r="B78" s="76" t="s">
        <v>63</v>
      </c>
      <c r="C78" s="49">
        <v>0.45</v>
      </c>
      <c r="D78" s="76" t="s">
        <v>289</v>
      </c>
      <c r="E78" s="119"/>
      <c r="F78" s="51" t="s">
        <v>390</v>
      </c>
    </row>
    <row r="79" spans="2:6" ht="16.2" x14ac:dyDescent="0.3">
      <c r="B79" s="76" t="s">
        <v>65</v>
      </c>
      <c r="C79" s="49">
        <v>-0.45</v>
      </c>
      <c r="D79" s="76" t="s">
        <v>290</v>
      </c>
      <c r="E79" s="119"/>
      <c r="F79" s="51" t="s">
        <v>391</v>
      </c>
    </row>
    <row r="80" spans="2:6" ht="16.2" x14ac:dyDescent="0.3">
      <c r="B80" s="76" t="s">
        <v>67</v>
      </c>
      <c r="C80" s="49">
        <v>60</v>
      </c>
      <c r="D80" s="76" t="s">
        <v>291</v>
      </c>
      <c r="E80" s="119"/>
      <c r="F80" s="51" t="s">
        <v>392</v>
      </c>
    </row>
    <row r="81" spans="2:6" ht="16.2" x14ac:dyDescent="0.3">
      <c r="B81" s="76" t="s">
        <v>69</v>
      </c>
      <c r="C81" s="49">
        <v>0.1</v>
      </c>
      <c r="D81" s="76" t="s">
        <v>292</v>
      </c>
      <c r="E81" s="119"/>
      <c r="F81" s="15"/>
    </row>
    <row r="82" spans="2:6" ht="16.2" x14ac:dyDescent="0.3">
      <c r="B82" s="76" t="s">
        <v>71</v>
      </c>
      <c r="C82" s="49">
        <v>0.9</v>
      </c>
      <c r="D82" s="76" t="s">
        <v>293</v>
      </c>
      <c r="E82" s="119"/>
    </row>
    <row r="83" spans="2:6" ht="16.2" x14ac:dyDescent="0.3">
      <c r="B83" s="76" t="s">
        <v>73</v>
      </c>
      <c r="C83" s="49">
        <v>1.1000000000000001</v>
      </c>
      <c r="D83" s="76" t="s">
        <v>294</v>
      </c>
      <c r="E83" s="119"/>
    </row>
    <row r="84" spans="2:6" ht="16.2" x14ac:dyDescent="0.3">
      <c r="B84" s="76" t="s">
        <v>75</v>
      </c>
      <c r="C84" s="49">
        <v>40</v>
      </c>
      <c r="D84" s="76" t="s">
        <v>295</v>
      </c>
      <c r="E84" s="119"/>
    </row>
    <row r="85" spans="2:6" ht="16.2" x14ac:dyDescent="0.3">
      <c r="B85" s="76" t="s">
        <v>77</v>
      </c>
      <c r="C85" s="49">
        <v>0.5</v>
      </c>
      <c r="D85" s="76" t="s">
        <v>296</v>
      </c>
      <c r="E85" s="119"/>
    </row>
    <row r="86" spans="2:6" ht="16.2" x14ac:dyDescent="0.3">
      <c r="B86" s="76" t="s">
        <v>79</v>
      </c>
      <c r="C86" s="49">
        <v>1.45</v>
      </c>
      <c r="D86" s="76" t="s">
        <v>297</v>
      </c>
      <c r="E86" s="119"/>
    </row>
    <row r="87" spans="2:6" ht="16.2" x14ac:dyDescent="0.3">
      <c r="B87" s="76" t="s">
        <v>81</v>
      </c>
      <c r="C87" s="49">
        <v>0.05</v>
      </c>
      <c r="D87" s="76" t="s">
        <v>298</v>
      </c>
      <c r="E87" s="119"/>
    </row>
    <row r="88" spans="2:6" ht="16.2" x14ac:dyDescent="0.3">
      <c r="B88" s="76" t="s">
        <v>164</v>
      </c>
      <c r="C88" s="49">
        <v>0.05</v>
      </c>
      <c r="D88" s="76" t="s">
        <v>299</v>
      </c>
      <c r="E88" s="119"/>
    </row>
    <row r="89" spans="2:6" ht="16.2" x14ac:dyDescent="0.3">
      <c r="B89" s="76" t="s">
        <v>165</v>
      </c>
      <c r="C89" s="49">
        <v>1</v>
      </c>
      <c r="D89" s="76" t="s">
        <v>300</v>
      </c>
      <c r="E89" s="119"/>
    </row>
    <row r="90" spans="2:6" ht="16.2" x14ac:dyDescent="0.3">
      <c r="B90" s="76" t="s">
        <v>166</v>
      </c>
      <c r="C90" s="49">
        <v>0.15</v>
      </c>
      <c r="D90" s="76" t="s">
        <v>301</v>
      </c>
      <c r="E90" s="119"/>
    </row>
    <row r="91" spans="2:6" ht="16.2" x14ac:dyDescent="0.3">
      <c r="B91" s="76" t="s">
        <v>167</v>
      </c>
      <c r="C91" s="49">
        <v>0.96</v>
      </c>
      <c r="D91" s="76" t="s">
        <v>302</v>
      </c>
      <c r="E91" s="119"/>
    </row>
    <row r="92" spans="2:6" ht="16.2" x14ac:dyDescent="0.3">
      <c r="B92" s="76" t="s">
        <v>168</v>
      </c>
      <c r="C92" s="49">
        <v>0.996</v>
      </c>
      <c r="D92" s="76" t="s">
        <v>303</v>
      </c>
      <c r="E92" s="119"/>
    </row>
    <row r="93" spans="2:6" ht="16.2" x14ac:dyDescent="0.3">
      <c r="B93" s="76" t="s">
        <v>169</v>
      </c>
      <c r="C93" s="49">
        <v>1.004</v>
      </c>
      <c r="D93" s="76" t="s">
        <v>304</v>
      </c>
      <c r="E93" s="119"/>
    </row>
    <row r="94" spans="2:6" ht="16.2" x14ac:dyDescent="0.3">
      <c r="B94" s="76" t="s">
        <v>170</v>
      </c>
      <c r="C94" s="49">
        <v>1.04</v>
      </c>
      <c r="D94" s="76" t="s">
        <v>305</v>
      </c>
      <c r="E94" s="119"/>
    </row>
    <row r="95" spans="2:6" ht="16.2" x14ac:dyDescent="0.3">
      <c r="B95" s="76" t="s">
        <v>171</v>
      </c>
      <c r="C95" s="49">
        <v>1</v>
      </c>
      <c r="D95" s="76" t="s">
        <v>306</v>
      </c>
      <c r="E95" s="119"/>
    </row>
    <row r="96" spans="2:6" ht="16.2" x14ac:dyDescent="0.3">
      <c r="B96" s="76" t="s">
        <v>172</v>
      </c>
      <c r="C96" s="49">
        <v>0.95</v>
      </c>
      <c r="D96" s="76" t="s">
        <v>307</v>
      </c>
      <c r="E96" s="119"/>
    </row>
    <row r="97" spans="2:5" ht="16.2" x14ac:dyDescent="0.3">
      <c r="B97" s="76" t="s">
        <v>173</v>
      </c>
      <c r="C97" s="49">
        <v>0.95</v>
      </c>
      <c r="D97" s="76" t="s">
        <v>308</v>
      </c>
      <c r="E97" s="119"/>
    </row>
    <row r="98" spans="2:5" ht="16.2" x14ac:dyDescent="0.3">
      <c r="B98" s="76" t="s">
        <v>174</v>
      </c>
      <c r="C98" s="49">
        <v>0.4</v>
      </c>
      <c r="D98" s="76" t="s">
        <v>309</v>
      </c>
      <c r="E98" s="119"/>
    </row>
    <row r="99" spans="2:5" ht="16.2" x14ac:dyDescent="0.3">
      <c r="B99" s="76" t="s">
        <v>175</v>
      </c>
      <c r="C99" s="49">
        <v>1</v>
      </c>
      <c r="D99" s="76" t="s">
        <v>310</v>
      </c>
      <c r="E99" s="119"/>
    </row>
    <row r="100" spans="2:5" ht="16.2" x14ac:dyDescent="0.3">
      <c r="B100" s="76" t="s">
        <v>176</v>
      </c>
      <c r="C100" s="49">
        <v>0.2</v>
      </c>
      <c r="D100" s="76" t="s">
        <v>311</v>
      </c>
      <c r="E100" s="119"/>
    </row>
    <row r="101" spans="2:5" ht="16.2" x14ac:dyDescent="0.3">
      <c r="B101" s="76" t="s">
        <v>177</v>
      </c>
      <c r="C101" s="49">
        <v>1</v>
      </c>
      <c r="D101" s="76" t="s">
        <v>312</v>
      </c>
      <c r="E101" s="119"/>
    </row>
    <row r="102" spans="2:5" ht="16.2" x14ac:dyDescent="0.3">
      <c r="B102" s="76" t="s">
        <v>178</v>
      </c>
      <c r="C102" s="49">
        <v>0.25</v>
      </c>
      <c r="D102" s="76" t="s">
        <v>313</v>
      </c>
      <c r="E102" s="119"/>
    </row>
    <row r="103" spans="2:5" ht="16.2" x14ac:dyDescent="0.3">
      <c r="B103" s="76" t="s">
        <v>179</v>
      </c>
      <c r="C103" s="49">
        <v>-1</v>
      </c>
      <c r="D103" s="76" t="s">
        <v>314</v>
      </c>
      <c r="E103" s="119"/>
    </row>
    <row r="104" spans="2:5" ht="15" x14ac:dyDescent="0.3">
      <c r="B104" s="79" t="s">
        <v>180</v>
      </c>
      <c r="C104" s="58">
        <v>15</v>
      </c>
      <c r="D104" s="79" t="s">
        <v>403</v>
      </c>
      <c r="E104" s="119"/>
    </row>
    <row r="105" spans="2:5" ht="16.2" x14ac:dyDescent="0.3">
      <c r="B105" s="79" t="s">
        <v>181</v>
      </c>
      <c r="C105" s="58">
        <v>25</v>
      </c>
      <c r="D105" s="79" t="s">
        <v>438</v>
      </c>
      <c r="E105" s="119"/>
    </row>
    <row r="106" spans="2:5" ht="16.2" x14ac:dyDescent="0.3">
      <c r="B106" s="79" t="s">
        <v>182</v>
      </c>
      <c r="C106" s="58">
        <v>3</v>
      </c>
      <c r="D106" s="79" t="s">
        <v>439</v>
      </c>
      <c r="E106" s="119"/>
    </row>
    <row r="107" spans="2:5" ht="16.2" x14ac:dyDescent="0.3">
      <c r="B107" s="76" t="s">
        <v>183</v>
      </c>
      <c r="C107" s="49">
        <v>-0.9</v>
      </c>
      <c r="D107" s="76" t="s">
        <v>315</v>
      </c>
      <c r="E107" s="119"/>
    </row>
    <row r="108" spans="2:5" ht="15" x14ac:dyDescent="0.3">
      <c r="B108" s="76" t="s">
        <v>184</v>
      </c>
      <c r="C108" s="49">
        <v>8</v>
      </c>
      <c r="D108" s="76" t="s">
        <v>185</v>
      </c>
      <c r="E108" s="119"/>
    </row>
    <row r="109" spans="2:5" ht="15" x14ac:dyDescent="0.3">
      <c r="B109" s="76" t="s">
        <v>186</v>
      </c>
      <c r="C109" s="49">
        <v>0.2</v>
      </c>
      <c r="D109" s="76" t="s">
        <v>187</v>
      </c>
      <c r="E109" s="119"/>
    </row>
    <row r="110" spans="2:5" ht="15" x14ac:dyDescent="0.3">
      <c r="B110" s="76" t="s">
        <v>188</v>
      </c>
      <c r="C110" s="49">
        <v>10</v>
      </c>
      <c r="D110" s="76" t="s">
        <v>189</v>
      </c>
      <c r="E110" s="119"/>
    </row>
    <row r="111" spans="2:5" ht="16.2" x14ac:dyDescent="0.3">
      <c r="B111" s="76" t="s">
        <v>190</v>
      </c>
      <c r="C111" s="49">
        <v>1</v>
      </c>
      <c r="D111" s="76" t="s">
        <v>316</v>
      </c>
      <c r="E111" s="119"/>
    </row>
    <row r="112" spans="2:5" ht="16.2" x14ac:dyDescent="0.3">
      <c r="B112" s="76" t="s">
        <v>191</v>
      </c>
      <c r="C112" s="49">
        <v>1.7</v>
      </c>
      <c r="D112" s="76" t="s">
        <v>317</v>
      </c>
      <c r="E112" s="119"/>
    </row>
    <row r="113" spans="2:5" ht="15" x14ac:dyDescent="0.3">
      <c r="B113" s="76" t="s">
        <v>192</v>
      </c>
      <c r="C113" s="49">
        <v>1.1200000000000001</v>
      </c>
      <c r="D113" s="76" t="s">
        <v>193</v>
      </c>
      <c r="E113" s="119"/>
    </row>
    <row r="114" spans="2:5" ht="15" x14ac:dyDescent="0.3">
      <c r="B114" s="76" t="s">
        <v>194</v>
      </c>
      <c r="C114" s="49">
        <v>1.25</v>
      </c>
      <c r="D114" s="76" t="s">
        <v>195</v>
      </c>
      <c r="E114" s="119"/>
    </row>
    <row r="115" spans="2:5" ht="16.2" x14ac:dyDescent="0.3">
      <c r="B115" s="76" t="s">
        <v>196</v>
      </c>
      <c r="C115" s="49">
        <v>5</v>
      </c>
      <c r="D115" s="76" t="s">
        <v>318</v>
      </c>
      <c r="E115" s="119"/>
    </row>
    <row r="116" spans="2:5" ht="16.2" x14ac:dyDescent="0.3">
      <c r="B116" s="76" t="s">
        <v>197</v>
      </c>
      <c r="C116" s="49">
        <v>0</v>
      </c>
      <c r="D116" s="76" t="s">
        <v>319</v>
      </c>
      <c r="E116" s="119"/>
    </row>
    <row r="117" spans="2:5" ht="16.2" x14ac:dyDescent="0.3">
      <c r="B117" s="76" t="s">
        <v>198</v>
      </c>
      <c r="C117" s="49">
        <v>0</v>
      </c>
      <c r="D117" s="76" t="s">
        <v>320</v>
      </c>
      <c r="E117" s="119"/>
    </row>
    <row r="118" spans="2:5" ht="16.2" x14ac:dyDescent="0.3">
      <c r="B118" s="76" t="s">
        <v>199</v>
      </c>
      <c r="C118" s="49">
        <v>0</v>
      </c>
      <c r="D118" s="76" t="s">
        <v>321</v>
      </c>
      <c r="E118" s="119"/>
    </row>
    <row r="119" spans="2:5" ht="16.2" x14ac:dyDescent="0.3">
      <c r="B119" s="76" t="s">
        <v>200</v>
      </c>
      <c r="C119" s="49">
        <v>2.5000000000000001E-3</v>
      </c>
      <c r="D119" s="76" t="s">
        <v>322</v>
      </c>
      <c r="E119" s="119"/>
    </row>
    <row r="120" spans="2:5" ht="16.2" x14ac:dyDescent="0.3">
      <c r="B120" s="76" t="s">
        <v>201</v>
      </c>
      <c r="C120" s="49">
        <v>1</v>
      </c>
      <c r="D120" s="76" t="s">
        <v>323</v>
      </c>
      <c r="E120" s="119"/>
    </row>
    <row r="121" spans="2:5" ht="16.2" x14ac:dyDescent="0.3">
      <c r="B121" s="76" t="s">
        <v>202</v>
      </c>
      <c r="C121" s="49">
        <v>5.5</v>
      </c>
      <c r="D121" s="76" t="s">
        <v>324</v>
      </c>
      <c r="E121" s="119"/>
    </row>
    <row r="122" spans="2:5" ht="16.2" x14ac:dyDescent="0.3">
      <c r="B122" s="76" t="s">
        <v>203</v>
      </c>
      <c r="C122" s="49">
        <v>0.1</v>
      </c>
      <c r="D122" s="76" t="s">
        <v>325</v>
      </c>
      <c r="E122" s="119"/>
    </row>
    <row r="123" spans="2:5" ht="16.2" x14ac:dyDescent="0.3">
      <c r="B123" s="76" t="s">
        <v>204</v>
      </c>
      <c r="C123" s="49">
        <v>-1</v>
      </c>
      <c r="D123" s="76" t="s">
        <v>326</v>
      </c>
      <c r="E123" s="119"/>
    </row>
    <row r="124" spans="2:5" ht="16.2" x14ac:dyDescent="0.3">
      <c r="B124" s="76" t="s">
        <v>205</v>
      </c>
      <c r="C124" s="49">
        <v>0.1</v>
      </c>
      <c r="D124" s="76" t="s">
        <v>327</v>
      </c>
      <c r="E124" s="119"/>
    </row>
    <row r="125" spans="2:5" ht="16.2" x14ac:dyDescent="0.3">
      <c r="B125" s="76" t="s">
        <v>206</v>
      </c>
      <c r="C125" s="49">
        <v>0</v>
      </c>
      <c r="D125" s="76" t="s">
        <v>328</v>
      </c>
      <c r="E125" s="119"/>
    </row>
    <row r="126" spans="2:5" ht="16.2" x14ac:dyDescent="0.3">
      <c r="B126" s="76" t="s">
        <v>207</v>
      </c>
      <c r="C126" s="49">
        <v>0.1</v>
      </c>
      <c r="D126" s="76" t="s">
        <v>329</v>
      </c>
      <c r="E126" s="119"/>
    </row>
    <row r="127" spans="2:5" ht="16.2" x14ac:dyDescent="0.3">
      <c r="B127" s="76" t="s">
        <v>208</v>
      </c>
      <c r="C127" s="49">
        <v>-0.1</v>
      </c>
      <c r="D127" s="76" t="s">
        <v>330</v>
      </c>
      <c r="E127" s="119"/>
    </row>
    <row r="128" spans="2:5" ht="16.2" x14ac:dyDescent="0.3">
      <c r="B128" s="76" t="s">
        <v>209</v>
      </c>
      <c r="C128" s="49">
        <v>0.7</v>
      </c>
      <c r="D128" s="76" t="s">
        <v>331</v>
      </c>
      <c r="E128" s="119"/>
    </row>
    <row r="129" spans="2:5" ht="16.2" x14ac:dyDescent="0.3">
      <c r="B129" s="76" t="s">
        <v>210</v>
      </c>
      <c r="C129" s="49">
        <v>0.12</v>
      </c>
      <c r="D129" s="76" t="s">
        <v>332</v>
      </c>
      <c r="E129" s="119"/>
    </row>
    <row r="130" spans="2:5" ht="16.2" x14ac:dyDescent="0.3">
      <c r="B130" s="76" t="s">
        <v>211</v>
      </c>
      <c r="C130" s="49">
        <v>-0.12</v>
      </c>
      <c r="D130" s="76" t="s">
        <v>333</v>
      </c>
      <c r="E130" s="119"/>
    </row>
    <row r="131" spans="2:5" ht="15" x14ac:dyDescent="0.3">
      <c r="B131" s="17"/>
      <c r="C131" s="24"/>
      <c r="D131" s="17"/>
    </row>
    <row r="132" spans="2:5" ht="15" x14ac:dyDescent="0.3">
      <c r="B132" s="19" t="s">
        <v>113</v>
      </c>
      <c r="C132" s="25" t="s">
        <v>3</v>
      </c>
      <c r="D132" s="19" t="s">
        <v>4</v>
      </c>
      <c r="E132" s="42" t="s">
        <v>552</v>
      </c>
    </row>
    <row r="133" spans="2:5" ht="15" x14ac:dyDescent="0.3">
      <c r="B133" s="79" t="s">
        <v>37</v>
      </c>
      <c r="C133" s="58">
        <v>191061</v>
      </c>
      <c r="D133" s="79" t="s">
        <v>212</v>
      </c>
      <c r="E133" s="119"/>
    </row>
    <row r="134" spans="2:5" ht="15" x14ac:dyDescent="0.3">
      <c r="B134" s="159" t="s">
        <v>39</v>
      </c>
      <c r="C134" s="144">
        <v>0</v>
      </c>
      <c r="D134" s="79" t="s">
        <v>213</v>
      </c>
      <c r="E134" s="119"/>
    </row>
    <row r="135" spans="2:5" ht="15" x14ac:dyDescent="0.3">
      <c r="B135" s="159"/>
      <c r="C135" s="144"/>
      <c r="D135" s="79" t="s">
        <v>214</v>
      </c>
      <c r="E135" s="119"/>
    </row>
    <row r="136" spans="2:5" ht="16.8" x14ac:dyDescent="0.3">
      <c r="B136" s="159" t="s">
        <v>41</v>
      </c>
      <c r="C136" s="144">
        <v>1</v>
      </c>
      <c r="D136" s="80" t="s">
        <v>440</v>
      </c>
      <c r="E136" s="119"/>
    </row>
    <row r="137" spans="2:5" ht="30" x14ac:dyDescent="0.3">
      <c r="B137" s="159"/>
      <c r="C137" s="144"/>
      <c r="D137" s="79" t="s">
        <v>215</v>
      </c>
      <c r="E137" s="119"/>
    </row>
    <row r="138" spans="2:5" ht="16.2" x14ac:dyDescent="0.3">
      <c r="B138" s="79" t="s">
        <v>216</v>
      </c>
      <c r="C138" s="59">
        <v>0</v>
      </c>
      <c r="D138" s="79" t="s">
        <v>441</v>
      </c>
      <c r="E138" s="119"/>
    </row>
    <row r="139" spans="2:5" ht="16.2" x14ac:dyDescent="0.3">
      <c r="B139" s="79" t="s">
        <v>217</v>
      </c>
      <c r="C139" s="59" t="s">
        <v>401</v>
      </c>
      <c r="D139" s="79" t="s">
        <v>442</v>
      </c>
      <c r="E139" s="119"/>
    </row>
    <row r="140" spans="2:5" ht="15" x14ac:dyDescent="0.3">
      <c r="B140" s="159" t="s">
        <v>218</v>
      </c>
      <c r="C140" s="144">
        <v>0</v>
      </c>
      <c r="D140" s="79" t="s">
        <v>219</v>
      </c>
      <c r="E140" s="119"/>
    </row>
    <row r="141" spans="2:5" ht="15" x14ac:dyDescent="0.3">
      <c r="B141" s="159"/>
      <c r="C141" s="144"/>
      <c r="D141" s="81" t="s">
        <v>334</v>
      </c>
      <c r="E141" s="119"/>
    </row>
    <row r="142" spans="2:5" ht="15" x14ac:dyDescent="0.3">
      <c r="B142" s="159"/>
      <c r="C142" s="144"/>
      <c r="D142" s="81" t="s">
        <v>335</v>
      </c>
      <c r="E142" s="119"/>
    </row>
    <row r="143" spans="2:5" ht="16.8" x14ac:dyDescent="0.3">
      <c r="B143" s="79" t="s">
        <v>220</v>
      </c>
      <c r="C143" s="58">
        <v>191061</v>
      </c>
      <c r="D143" s="79" t="s">
        <v>421</v>
      </c>
      <c r="E143" s="119"/>
    </row>
    <row r="144" spans="2:5" ht="16.8" x14ac:dyDescent="0.3">
      <c r="B144" s="79" t="s">
        <v>221</v>
      </c>
      <c r="C144" s="58">
        <v>991061</v>
      </c>
      <c r="D144" s="79" t="s">
        <v>422</v>
      </c>
      <c r="E144" s="119"/>
    </row>
    <row r="145" spans="2:5" ht="15" x14ac:dyDescent="0.3">
      <c r="B145" s="79" t="s">
        <v>222</v>
      </c>
      <c r="C145" s="59" t="s">
        <v>400</v>
      </c>
      <c r="D145" s="79" t="s">
        <v>223</v>
      </c>
      <c r="E145" s="119"/>
    </row>
    <row r="146" spans="2:5" ht="16.2" x14ac:dyDescent="0.3">
      <c r="B146" s="79" t="s">
        <v>224</v>
      </c>
      <c r="C146" s="59">
        <v>1</v>
      </c>
      <c r="D146" s="79" t="s">
        <v>443</v>
      </c>
      <c r="E146" s="119"/>
    </row>
    <row r="147" spans="2:5" ht="15" x14ac:dyDescent="0.3">
      <c r="B147" s="17"/>
      <c r="C147" s="24"/>
      <c r="D147" s="17"/>
    </row>
    <row r="148" spans="2:5" ht="15" x14ac:dyDescent="0.3">
      <c r="B148" s="61" t="s">
        <v>150</v>
      </c>
      <c r="C148" s="154" t="s">
        <v>4</v>
      </c>
      <c r="D148" s="154"/>
    </row>
    <row r="149" spans="2:5" ht="15" x14ac:dyDescent="0.3">
      <c r="B149" s="60" t="s">
        <v>25</v>
      </c>
      <c r="C149" s="146" t="s">
        <v>83</v>
      </c>
      <c r="D149" s="146"/>
    </row>
    <row r="150" spans="2:5" ht="15" x14ac:dyDescent="0.3">
      <c r="B150" s="60" t="s">
        <v>27</v>
      </c>
      <c r="C150" s="146" t="s">
        <v>84</v>
      </c>
      <c r="D150" s="146"/>
    </row>
    <row r="151" spans="2:5" ht="15" x14ac:dyDescent="0.3">
      <c r="B151" s="60" t="s">
        <v>29</v>
      </c>
      <c r="C151" s="146" t="s">
        <v>225</v>
      </c>
      <c r="D151" s="146"/>
    </row>
    <row r="152" spans="2:5" ht="15" x14ac:dyDescent="0.3">
      <c r="B152" s="60" t="s">
        <v>86</v>
      </c>
      <c r="C152" s="146" t="s">
        <v>226</v>
      </c>
      <c r="D152" s="146"/>
    </row>
    <row r="153" spans="2:5" ht="15" x14ac:dyDescent="0.3">
      <c r="B153" s="60" t="s">
        <v>88</v>
      </c>
      <c r="C153" s="146" t="s">
        <v>89</v>
      </c>
      <c r="D153" s="146"/>
    </row>
    <row r="154" spans="2:5" ht="15" x14ac:dyDescent="0.3">
      <c r="B154" s="60" t="s">
        <v>90</v>
      </c>
      <c r="C154" s="146" t="s">
        <v>91</v>
      </c>
      <c r="D154" s="146"/>
    </row>
    <row r="155" spans="2:5" ht="15" x14ac:dyDescent="0.3">
      <c r="B155" s="60" t="s">
        <v>92</v>
      </c>
      <c r="C155" s="146" t="s">
        <v>227</v>
      </c>
      <c r="D155" s="146"/>
    </row>
    <row r="156" spans="2:5" ht="15" x14ac:dyDescent="0.3">
      <c r="B156" s="60" t="s">
        <v>94</v>
      </c>
      <c r="C156" s="146" t="s">
        <v>228</v>
      </c>
      <c r="D156" s="146"/>
    </row>
    <row r="157" spans="2:5" ht="15" x14ac:dyDescent="0.3">
      <c r="B157" s="60" t="s">
        <v>96</v>
      </c>
      <c r="C157" s="146" t="s">
        <v>97</v>
      </c>
      <c r="D157" s="146"/>
    </row>
    <row r="158" spans="2:5" ht="15" x14ac:dyDescent="0.3">
      <c r="B158" s="60" t="s">
        <v>98</v>
      </c>
      <c r="C158" s="146" t="s">
        <v>99</v>
      </c>
      <c r="D158" s="146"/>
    </row>
    <row r="159" spans="2:5" ht="15" x14ac:dyDescent="0.3">
      <c r="B159" s="60" t="s">
        <v>229</v>
      </c>
      <c r="C159" s="146" t="s">
        <v>230</v>
      </c>
      <c r="D159" s="146"/>
    </row>
    <row r="160" spans="2:5" ht="15" x14ac:dyDescent="0.3">
      <c r="B160" s="60" t="s">
        <v>231</v>
      </c>
      <c r="C160" s="146" t="s">
        <v>232</v>
      </c>
      <c r="D160" s="146"/>
    </row>
    <row r="161" spans="2:4" ht="15" x14ac:dyDescent="0.3">
      <c r="B161" s="60" t="s">
        <v>233</v>
      </c>
      <c r="C161" s="146" t="s">
        <v>234</v>
      </c>
      <c r="D161" s="146"/>
    </row>
    <row r="162" spans="2:4" ht="15" x14ac:dyDescent="0.3">
      <c r="B162" s="60" t="s">
        <v>235</v>
      </c>
      <c r="C162" s="146" t="s">
        <v>236</v>
      </c>
      <c r="D162" s="146"/>
    </row>
    <row r="163" spans="2:4" ht="15" x14ac:dyDescent="0.3">
      <c r="B163" s="60" t="s">
        <v>237</v>
      </c>
      <c r="C163" s="146" t="s">
        <v>238</v>
      </c>
      <c r="D163" s="146"/>
    </row>
    <row r="164" spans="2:4" ht="15" x14ac:dyDescent="0.3">
      <c r="B164" s="60" t="s">
        <v>239</v>
      </c>
      <c r="C164" s="146" t="s">
        <v>240</v>
      </c>
      <c r="D164" s="146"/>
    </row>
    <row r="165" spans="2:4" ht="15" x14ac:dyDescent="0.3">
      <c r="B165" s="60" t="s">
        <v>241</v>
      </c>
      <c r="C165" s="146" t="s">
        <v>242</v>
      </c>
      <c r="D165" s="146"/>
    </row>
    <row r="166" spans="2:4" ht="15" x14ac:dyDescent="0.3">
      <c r="B166" s="60" t="s">
        <v>243</v>
      </c>
      <c r="C166" s="146" t="s">
        <v>244</v>
      </c>
      <c r="D166" s="146"/>
    </row>
    <row r="167" spans="2:4" ht="15" x14ac:dyDescent="0.3">
      <c r="B167" s="17"/>
      <c r="C167" s="24"/>
      <c r="D167" s="17"/>
    </row>
    <row r="168" spans="2:4" ht="15" x14ac:dyDescent="0.3">
      <c r="B168" s="61" t="s">
        <v>31</v>
      </c>
      <c r="C168" s="154" t="s">
        <v>4</v>
      </c>
      <c r="D168" s="154"/>
    </row>
    <row r="169" spans="2:4" ht="15" x14ac:dyDescent="0.3">
      <c r="B169" s="60" t="s">
        <v>108</v>
      </c>
      <c r="C169" s="146" t="s">
        <v>245</v>
      </c>
      <c r="D169" s="146"/>
    </row>
    <row r="170" spans="2:4" ht="15" x14ac:dyDescent="0.3">
      <c r="B170" s="60" t="s">
        <v>153</v>
      </c>
      <c r="C170" s="146" t="s">
        <v>246</v>
      </c>
      <c r="D170" s="146"/>
    </row>
    <row r="171" spans="2:4" ht="15" x14ac:dyDescent="0.3">
      <c r="B171" s="60" t="s">
        <v>154</v>
      </c>
      <c r="C171" s="146" t="s">
        <v>247</v>
      </c>
      <c r="D171" s="146"/>
    </row>
    <row r="172" spans="2:4" ht="15" x14ac:dyDescent="0.3">
      <c r="B172" s="60" t="s">
        <v>248</v>
      </c>
      <c r="C172" s="146" t="s">
        <v>249</v>
      </c>
      <c r="D172" s="146"/>
    </row>
    <row r="173" spans="2:4" ht="15" x14ac:dyDescent="0.3">
      <c r="B173" s="60" t="s">
        <v>250</v>
      </c>
      <c r="C173" s="146" t="s">
        <v>251</v>
      </c>
      <c r="D173" s="146"/>
    </row>
    <row r="174" spans="2:4" ht="15" x14ac:dyDescent="0.3">
      <c r="B174" s="60" t="s">
        <v>252</v>
      </c>
      <c r="C174" s="146" t="s">
        <v>253</v>
      </c>
      <c r="D174" s="146"/>
    </row>
    <row r="175" spans="2:4" ht="15" x14ac:dyDescent="0.3">
      <c r="B175" s="60" t="s">
        <v>254</v>
      </c>
      <c r="C175" s="146" t="s">
        <v>255</v>
      </c>
      <c r="D175" s="146"/>
    </row>
    <row r="176" spans="2:4" ht="15" x14ac:dyDescent="0.3">
      <c r="B176" s="60" t="s">
        <v>256</v>
      </c>
      <c r="C176" s="146" t="s">
        <v>257</v>
      </c>
      <c r="D176" s="146"/>
    </row>
    <row r="177" spans="1:6" ht="15" x14ac:dyDescent="0.3">
      <c r="B177" s="60" t="s">
        <v>258</v>
      </c>
      <c r="C177" s="146" t="s">
        <v>259</v>
      </c>
      <c r="D177" s="146"/>
    </row>
    <row r="178" spans="1:6" ht="15" x14ac:dyDescent="0.3">
      <c r="B178" s="60" t="s">
        <v>260</v>
      </c>
      <c r="C178" s="146" t="s">
        <v>261</v>
      </c>
      <c r="D178" s="146"/>
    </row>
    <row r="179" spans="1:6" ht="15" x14ac:dyDescent="0.3">
      <c r="B179" s="19" t="s">
        <v>262</v>
      </c>
      <c r="C179" s="146" t="s">
        <v>263</v>
      </c>
      <c r="D179" s="146"/>
    </row>
    <row r="180" spans="1:6" ht="15" x14ac:dyDescent="0.3">
      <c r="B180" s="19" t="s">
        <v>264</v>
      </c>
      <c r="C180" s="146" t="s">
        <v>265</v>
      </c>
      <c r="D180" s="146"/>
    </row>
    <row r="181" spans="1:6" ht="15" x14ac:dyDescent="0.3">
      <c r="B181" s="19" t="s">
        <v>266</v>
      </c>
      <c r="C181" s="146" t="s">
        <v>267</v>
      </c>
      <c r="D181" s="146"/>
    </row>
    <row r="182" spans="1:6" ht="15" x14ac:dyDescent="0.3">
      <c r="B182" s="19" t="s">
        <v>268</v>
      </c>
      <c r="C182" s="146" t="s">
        <v>269</v>
      </c>
      <c r="D182" s="146"/>
    </row>
    <row r="183" spans="1:6" ht="15" x14ac:dyDescent="0.3">
      <c r="B183" s="19" t="s">
        <v>270</v>
      </c>
      <c r="C183" s="146" t="s">
        <v>271</v>
      </c>
      <c r="D183" s="146"/>
    </row>
    <row r="184" spans="1:6" ht="15" x14ac:dyDescent="0.3">
      <c r="B184" s="19" t="s">
        <v>272</v>
      </c>
      <c r="C184" s="146" t="s">
        <v>273</v>
      </c>
      <c r="D184" s="146"/>
    </row>
    <row r="185" spans="1:6" s="20" customFormat="1" x14ac:dyDescent="0.3">
      <c r="C185" s="26"/>
    </row>
    <row r="186" spans="1:6" ht="16.2" x14ac:dyDescent="0.35">
      <c r="A186" s="5" t="s">
        <v>357</v>
      </c>
    </row>
    <row r="187" spans="1:6" x14ac:dyDescent="0.3">
      <c r="B187" s="40" t="s">
        <v>358</v>
      </c>
      <c r="C187" s="44"/>
      <c r="D187" s="40"/>
      <c r="E187" s="40"/>
    </row>
    <row r="188" spans="1:6" ht="15" x14ac:dyDescent="0.3">
      <c r="B188" s="41" t="s">
        <v>2</v>
      </c>
      <c r="C188" s="42" t="s">
        <v>3</v>
      </c>
      <c r="D188" s="41" t="s">
        <v>4</v>
      </c>
      <c r="E188" s="42" t="s">
        <v>552</v>
      </c>
      <c r="F188" s="51" t="s">
        <v>370</v>
      </c>
    </row>
    <row r="189" spans="1:6" ht="15" customHeight="1" x14ac:dyDescent="0.3">
      <c r="B189" s="79" t="s">
        <v>5</v>
      </c>
      <c r="C189" s="45">
        <v>9</v>
      </c>
      <c r="D189" s="79" t="s">
        <v>359</v>
      </c>
      <c r="E189" s="119"/>
    </row>
    <row r="190" spans="1:6" ht="15" customHeight="1" x14ac:dyDescent="0.3">
      <c r="B190" s="79" t="s">
        <v>7</v>
      </c>
      <c r="C190" s="46">
        <v>0</v>
      </c>
      <c r="D190" s="79" t="s">
        <v>360</v>
      </c>
      <c r="E190" s="119"/>
      <c r="F190" s="51" t="s">
        <v>397</v>
      </c>
    </row>
    <row r="191" spans="1:6" ht="16.2" x14ac:dyDescent="0.3">
      <c r="B191" s="79" t="s">
        <v>9</v>
      </c>
      <c r="C191" s="46">
        <v>0</v>
      </c>
      <c r="D191" s="79" t="s">
        <v>429</v>
      </c>
      <c r="E191" s="119"/>
      <c r="F191" s="15" t="s">
        <v>489</v>
      </c>
    </row>
    <row r="192" spans="1:6" ht="15" customHeight="1" x14ac:dyDescent="0.3">
      <c r="B192" s="79" t="s">
        <v>11</v>
      </c>
      <c r="C192" s="46">
        <v>1.246</v>
      </c>
      <c r="D192" s="79" t="s">
        <v>361</v>
      </c>
      <c r="E192" s="119"/>
    </row>
    <row r="193" spans="2:18" ht="15" customHeight="1" x14ac:dyDescent="0.3">
      <c r="B193" s="79" t="s">
        <v>13</v>
      </c>
      <c r="C193" s="46">
        <v>1.5</v>
      </c>
      <c r="D193" s="79" t="s">
        <v>362</v>
      </c>
      <c r="E193" s="119"/>
      <c r="F193" s="8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</row>
    <row r="194" spans="2:18" ht="15" customHeight="1" x14ac:dyDescent="0.3">
      <c r="B194" s="17"/>
      <c r="C194" s="24"/>
      <c r="D194" s="17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</row>
    <row r="195" spans="2:18" ht="15" customHeight="1" x14ac:dyDescent="0.3">
      <c r="B195" s="41" t="s">
        <v>113</v>
      </c>
      <c r="C195" s="42" t="s">
        <v>3</v>
      </c>
      <c r="D195" s="41" t="s">
        <v>4</v>
      </c>
    </row>
    <row r="196" spans="2:18" ht="15" customHeight="1" x14ac:dyDescent="0.3">
      <c r="B196" s="19" t="s">
        <v>37</v>
      </c>
      <c r="C196" s="25"/>
      <c r="D196" s="19" t="s">
        <v>338</v>
      </c>
    </row>
    <row r="197" spans="2:18" ht="15" customHeight="1" x14ac:dyDescent="0.3">
      <c r="B197" s="17"/>
      <c r="C197" s="24"/>
      <c r="D197" s="17"/>
    </row>
    <row r="198" spans="2:18" ht="15" x14ac:dyDescent="0.3">
      <c r="B198" s="41" t="s">
        <v>150</v>
      </c>
      <c r="C198" s="154" t="s">
        <v>4</v>
      </c>
      <c r="D198" s="154"/>
    </row>
    <row r="199" spans="2:18" ht="15" x14ac:dyDescent="0.3">
      <c r="B199" s="19" t="s">
        <v>25</v>
      </c>
      <c r="C199" s="146" t="s">
        <v>363</v>
      </c>
      <c r="D199" s="146"/>
    </row>
    <row r="200" spans="2:18" ht="15" x14ac:dyDescent="0.3">
      <c r="B200" s="19" t="s">
        <v>27</v>
      </c>
      <c r="C200" s="146" t="s">
        <v>364</v>
      </c>
      <c r="D200" s="146"/>
    </row>
    <row r="201" spans="2:18" ht="15" x14ac:dyDescent="0.3">
      <c r="B201" s="19" t="s">
        <v>29</v>
      </c>
      <c r="C201" s="146" t="s">
        <v>365</v>
      </c>
      <c r="D201" s="146"/>
    </row>
    <row r="202" spans="2:18" ht="15" x14ac:dyDescent="0.3">
      <c r="B202" s="19" t="s">
        <v>86</v>
      </c>
      <c r="C202" s="146" t="s">
        <v>366</v>
      </c>
      <c r="D202" s="146"/>
    </row>
    <row r="203" spans="2:18" ht="15" x14ac:dyDescent="0.3">
      <c r="B203" s="17"/>
      <c r="C203" s="24"/>
      <c r="D203" s="17"/>
    </row>
    <row r="204" spans="2:18" ht="15" x14ac:dyDescent="0.3">
      <c r="B204" s="41" t="s">
        <v>31</v>
      </c>
      <c r="C204" s="154" t="s">
        <v>4</v>
      </c>
      <c r="D204" s="154"/>
    </row>
    <row r="205" spans="2:18" ht="15" x14ac:dyDescent="0.3">
      <c r="B205" s="19" t="s">
        <v>108</v>
      </c>
      <c r="C205" s="146" t="s">
        <v>367</v>
      </c>
      <c r="D205" s="146"/>
    </row>
    <row r="206" spans="2:18" ht="15" x14ac:dyDescent="0.3">
      <c r="B206" s="19" t="s">
        <v>153</v>
      </c>
      <c r="C206" s="146" t="s">
        <v>368</v>
      </c>
      <c r="D206" s="146"/>
    </row>
    <row r="207" spans="2:18" ht="15" x14ac:dyDescent="0.3">
      <c r="B207" s="19" t="s">
        <v>154</v>
      </c>
      <c r="C207" s="146" t="s">
        <v>369</v>
      </c>
      <c r="D207" s="146"/>
    </row>
    <row r="208" spans="2:18" ht="15" x14ac:dyDescent="0.3">
      <c r="B208" s="19" t="s">
        <v>248</v>
      </c>
      <c r="C208" s="146" t="s">
        <v>356</v>
      </c>
      <c r="D208" s="146"/>
    </row>
    <row r="209" spans="1:6" s="20" customFormat="1" x14ac:dyDescent="0.3">
      <c r="C209" s="26"/>
    </row>
    <row r="210" spans="1:6" ht="16.2" x14ac:dyDescent="0.35">
      <c r="A210" s="5" t="s">
        <v>336</v>
      </c>
    </row>
    <row r="211" spans="1:6" x14ac:dyDescent="0.3">
      <c r="B211" s="40" t="s">
        <v>337</v>
      </c>
    </row>
    <row r="212" spans="1:6" ht="15" x14ac:dyDescent="0.3">
      <c r="B212" s="41" t="s">
        <v>2</v>
      </c>
      <c r="C212" s="42" t="s">
        <v>3</v>
      </c>
      <c r="D212" s="41" t="s">
        <v>4</v>
      </c>
      <c r="E212" s="42" t="s">
        <v>552</v>
      </c>
      <c r="F212" s="51" t="s">
        <v>345</v>
      </c>
    </row>
    <row r="213" spans="1:6" ht="16.2" x14ac:dyDescent="0.3">
      <c r="B213" s="79" t="s">
        <v>5</v>
      </c>
      <c r="C213" s="46">
        <v>0.3</v>
      </c>
      <c r="D213" s="79" t="s">
        <v>444</v>
      </c>
      <c r="E213" s="119"/>
    </row>
    <row r="214" spans="1:6" ht="16.2" x14ac:dyDescent="0.3">
      <c r="B214" s="79" t="s">
        <v>7</v>
      </c>
      <c r="C214" s="46">
        <v>150</v>
      </c>
      <c r="D214" s="79" t="s">
        <v>445</v>
      </c>
      <c r="E214" s="119"/>
      <c r="F214" s="51" t="s">
        <v>393</v>
      </c>
    </row>
    <row r="215" spans="1:6" ht="16.2" x14ac:dyDescent="0.3">
      <c r="B215" s="79" t="s">
        <v>9</v>
      </c>
      <c r="C215" s="46">
        <v>25</v>
      </c>
      <c r="D215" s="79" t="s">
        <v>446</v>
      </c>
      <c r="E215" s="119"/>
      <c r="F215" s="51" t="s">
        <v>394</v>
      </c>
    </row>
    <row r="216" spans="1:6" ht="16.2" x14ac:dyDescent="0.3">
      <c r="B216" s="79" t="s">
        <v>11</v>
      </c>
      <c r="C216" s="46">
        <v>3</v>
      </c>
      <c r="D216" s="79" t="s">
        <v>447</v>
      </c>
      <c r="E216" s="119"/>
      <c r="F216" s="51" t="s">
        <v>395</v>
      </c>
    </row>
    <row r="217" spans="1:6" ht="16.2" x14ac:dyDescent="0.3">
      <c r="B217" s="79" t="s">
        <v>13</v>
      </c>
      <c r="C217" s="46">
        <v>30</v>
      </c>
      <c r="D217" s="79" t="s">
        <v>448</v>
      </c>
      <c r="E217" s="119"/>
    </row>
    <row r="218" spans="1:6" ht="16.2" x14ac:dyDescent="0.3">
      <c r="B218" s="79" t="s">
        <v>15</v>
      </c>
      <c r="C218" s="46">
        <v>-4</v>
      </c>
      <c r="D218" s="79" t="s">
        <v>449</v>
      </c>
      <c r="E218" s="119"/>
    </row>
    <row r="219" spans="1:6" ht="16.2" x14ac:dyDescent="0.3">
      <c r="B219" s="79" t="s">
        <v>17</v>
      </c>
      <c r="C219" s="46">
        <v>27</v>
      </c>
      <c r="D219" s="79" t="s">
        <v>450</v>
      </c>
      <c r="E219" s="119"/>
    </row>
    <row r="220" spans="1:6" ht="16.2" x14ac:dyDescent="0.3">
      <c r="B220" s="79" t="s">
        <v>19</v>
      </c>
      <c r="C220" s="46">
        <v>-10</v>
      </c>
      <c r="D220" s="80" t="s">
        <v>451</v>
      </c>
      <c r="E220" s="119"/>
    </row>
    <row r="221" spans="1:6" ht="16.2" x14ac:dyDescent="0.3">
      <c r="B221" s="79" t="s">
        <v>21</v>
      </c>
      <c r="C221" s="46">
        <v>10</v>
      </c>
      <c r="D221" s="79" t="s">
        <v>452</v>
      </c>
      <c r="E221" s="119"/>
    </row>
    <row r="222" spans="1:6" ht="16.2" x14ac:dyDescent="0.3">
      <c r="B222" s="79" t="s">
        <v>53</v>
      </c>
      <c r="C222" s="46">
        <v>1</v>
      </c>
      <c r="D222" s="79" t="s">
        <v>453</v>
      </c>
      <c r="E222" s="119"/>
    </row>
    <row r="223" spans="1:6" ht="15" x14ac:dyDescent="0.3">
      <c r="B223" s="17"/>
      <c r="C223" s="24"/>
      <c r="D223" s="17"/>
    </row>
    <row r="224" spans="1:6" ht="15" x14ac:dyDescent="0.3">
      <c r="B224" s="41" t="s">
        <v>113</v>
      </c>
      <c r="C224" s="42" t="s">
        <v>3</v>
      </c>
      <c r="D224" s="41" t="s">
        <v>4</v>
      </c>
    </row>
    <row r="225" spans="1:6" ht="15" x14ac:dyDescent="0.3">
      <c r="B225" s="19" t="s">
        <v>37</v>
      </c>
      <c r="C225" s="25"/>
      <c r="D225" s="19" t="s">
        <v>338</v>
      </c>
    </row>
    <row r="226" spans="1:6" ht="15" x14ac:dyDescent="0.3">
      <c r="B226" s="19" t="s">
        <v>39</v>
      </c>
      <c r="C226" s="25"/>
      <c r="D226" s="19" t="s">
        <v>338</v>
      </c>
    </row>
    <row r="227" spans="1:6" ht="15" x14ac:dyDescent="0.3">
      <c r="B227" s="17"/>
      <c r="C227" s="24"/>
      <c r="D227" s="17"/>
    </row>
    <row r="228" spans="1:6" ht="15" x14ac:dyDescent="0.3">
      <c r="B228" s="61" t="s">
        <v>150</v>
      </c>
      <c r="C228" s="154" t="s">
        <v>4</v>
      </c>
      <c r="D228" s="154"/>
    </row>
    <row r="229" spans="1:6" ht="15" x14ac:dyDescent="0.3">
      <c r="B229" s="60" t="s">
        <v>25</v>
      </c>
      <c r="C229" s="146" t="s">
        <v>339</v>
      </c>
      <c r="D229" s="146"/>
    </row>
    <row r="230" spans="1:6" ht="15" x14ac:dyDescent="0.3">
      <c r="B230" s="60" t="s">
        <v>27</v>
      </c>
      <c r="C230" s="146" t="s">
        <v>340</v>
      </c>
      <c r="D230" s="146"/>
    </row>
    <row r="231" spans="1:6" ht="15" x14ac:dyDescent="0.3">
      <c r="B231" s="60" t="s">
        <v>29</v>
      </c>
      <c r="C231" s="146" t="s">
        <v>341</v>
      </c>
      <c r="D231" s="146"/>
    </row>
    <row r="232" spans="1:6" ht="15" x14ac:dyDescent="0.3">
      <c r="B232" s="17"/>
      <c r="C232" s="24"/>
      <c r="D232" s="17"/>
    </row>
    <row r="233" spans="1:6" ht="15" x14ac:dyDescent="0.3">
      <c r="B233" s="61" t="s">
        <v>31</v>
      </c>
      <c r="C233" s="154" t="s">
        <v>4</v>
      </c>
      <c r="D233" s="154"/>
    </row>
    <row r="234" spans="1:6" ht="15" x14ac:dyDescent="0.3">
      <c r="B234" s="60" t="s">
        <v>108</v>
      </c>
      <c r="C234" s="146" t="s">
        <v>342</v>
      </c>
      <c r="D234" s="146"/>
    </row>
    <row r="235" spans="1:6" ht="15" x14ac:dyDescent="0.3">
      <c r="B235" s="60" t="s">
        <v>153</v>
      </c>
      <c r="C235" s="146" t="s">
        <v>343</v>
      </c>
      <c r="D235" s="146"/>
    </row>
    <row r="236" spans="1:6" ht="15" x14ac:dyDescent="0.3">
      <c r="B236" s="60" t="s">
        <v>154</v>
      </c>
      <c r="C236" s="146" t="s">
        <v>344</v>
      </c>
      <c r="D236" s="146"/>
    </row>
    <row r="237" spans="1:6" s="20" customFormat="1" x14ac:dyDescent="0.3">
      <c r="C237" s="26"/>
    </row>
    <row r="238" spans="1:6" ht="16.2" x14ac:dyDescent="0.35">
      <c r="A238" s="5" t="s">
        <v>346</v>
      </c>
    </row>
    <row r="239" spans="1:6" x14ac:dyDescent="0.3">
      <c r="B239" s="40" t="s">
        <v>347</v>
      </c>
    </row>
    <row r="240" spans="1:6" ht="15" x14ac:dyDescent="0.3">
      <c r="B240" s="41" t="s">
        <v>2</v>
      </c>
      <c r="C240" s="42" t="s">
        <v>3</v>
      </c>
      <c r="D240" s="41" t="s">
        <v>4</v>
      </c>
      <c r="E240" s="42" t="s">
        <v>552</v>
      </c>
      <c r="F240" s="51" t="s">
        <v>399</v>
      </c>
    </row>
    <row r="241" spans="2:6" ht="16.2" x14ac:dyDescent="0.3">
      <c r="B241" s="79" t="s">
        <v>5</v>
      </c>
      <c r="C241" s="46">
        <v>20</v>
      </c>
      <c r="D241" s="79" t="s">
        <v>454</v>
      </c>
      <c r="E241" s="119"/>
    </row>
    <row r="242" spans="2:6" ht="16.2" x14ac:dyDescent="0.3">
      <c r="B242" s="79" t="s">
        <v>7</v>
      </c>
      <c r="C242" s="46">
        <v>0</v>
      </c>
      <c r="D242" s="79" t="s">
        <v>455</v>
      </c>
      <c r="E242" s="119"/>
      <c r="F242" s="51" t="s">
        <v>396</v>
      </c>
    </row>
    <row r="243" spans="2:6" ht="16.2" x14ac:dyDescent="0.3">
      <c r="B243" s="79" t="s">
        <v>9</v>
      </c>
      <c r="C243" s="46">
        <v>27</v>
      </c>
      <c r="D243" s="79" t="s">
        <v>456</v>
      </c>
      <c r="E243" s="119"/>
      <c r="F243" s="15" t="s">
        <v>488</v>
      </c>
    </row>
    <row r="244" spans="2:6" ht="16.2" x14ac:dyDescent="0.3">
      <c r="B244" s="79" t="s">
        <v>11</v>
      </c>
      <c r="C244" s="46">
        <v>-4</v>
      </c>
      <c r="D244" s="79" t="s">
        <v>457</v>
      </c>
      <c r="E244" s="119"/>
      <c r="F244" s="15" t="s">
        <v>402</v>
      </c>
    </row>
    <row r="245" spans="2:6" ht="16.2" x14ac:dyDescent="0.3">
      <c r="B245" s="79" t="s">
        <v>13</v>
      </c>
      <c r="C245" s="46">
        <v>0</v>
      </c>
      <c r="D245" s="79" t="s">
        <v>458</v>
      </c>
      <c r="E245" s="119"/>
    </row>
    <row r="246" spans="2:6" ht="15" x14ac:dyDescent="0.3">
      <c r="B246" s="79" t="s">
        <v>348</v>
      </c>
      <c r="C246" s="45">
        <v>1.2250000000000001</v>
      </c>
      <c r="D246" s="79" t="s">
        <v>349</v>
      </c>
      <c r="E246" s="119"/>
    </row>
    <row r="247" spans="2:6" ht="15" x14ac:dyDescent="0.3">
      <c r="B247" s="79" t="s">
        <v>17</v>
      </c>
      <c r="C247" s="45">
        <v>35.25</v>
      </c>
      <c r="D247" s="79" t="s">
        <v>350</v>
      </c>
      <c r="E247" s="119"/>
    </row>
    <row r="248" spans="2:6" ht="16.2" x14ac:dyDescent="0.3">
      <c r="B248" s="79" t="s">
        <v>19</v>
      </c>
      <c r="C248" s="45">
        <v>72</v>
      </c>
      <c r="D248" s="79" t="s">
        <v>459</v>
      </c>
      <c r="E248" s="119"/>
    </row>
    <row r="249" spans="2:6" ht="15" x14ac:dyDescent="0.3">
      <c r="B249" s="79" t="s">
        <v>21</v>
      </c>
      <c r="C249" s="45">
        <v>1200</v>
      </c>
      <c r="D249" s="79" t="s">
        <v>351</v>
      </c>
      <c r="E249" s="119"/>
    </row>
    <row r="250" spans="2:6" ht="15" x14ac:dyDescent="0.3">
      <c r="B250" s="17"/>
      <c r="C250" s="24"/>
      <c r="D250" s="17"/>
    </row>
    <row r="251" spans="2:6" ht="15" x14ac:dyDescent="0.3">
      <c r="B251" s="19" t="s">
        <v>113</v>
      </c>
      <c r="C251" s="25" t="s">
        <v>3</v>
      </c>
      <c r="D251" s="19" t="s">
        <v>4</v>
      </c>
    </row>
    <row r="252" spans="2:6" ht="15" x14ac:dyDescent="0.3">
      <c r="B252" s="19" t="s">
        <v>37</v>
      </c>
      <c r="C252" s="25"/>
      <c r="D252" s="19" t="s">
        <v>338</v>
      </c>
    </row>
    <row r="253" spans="2:6" ht="15" x14ac:dyDescent="0.3">
      <c r="B253" s="17"/>
      <c r="C253" s="24"/>
      <c r="D253" s="17"/>
    </row>
    <row r="254" spans="2:6" ht="15" x14ac:dyDescent="0.3">
      <c r="B254" s="60" t="s">
        <v>150</v>
      </c>
      <c r="C254" s="146" t="s">
        <v>4</v>
      </c>
      <c r="D254" s="146"/>
    </row>
    <row r="255" spans="2:6" ht="15" x14ac:dyDescent="0.3">
      <c r="B255" s="60" t="s">
        <v>25</v>
      </c>
      <c r="C255" s="146" t="s">
        <v>352</v>
      </c>
      <c r="D255" s="146"/>
    </row>
    <row r="256" spans="2:6" ht="15" x14ac:dyDescent="0.3">
      <c r="B256" s="17"/>
      <c r="C256" s="24"/>
      <c r="D256" s="17"/>
    </row>
    <row r="257" spans="1:21" ht="15" x14ac:dyDescent="0.3">
      <c r="B257" s="60" t="s">
        <v>31</v>
      </c>
      <c r="C257" s="146" t="s">
        <v>4</v>
      </c>
      <c r="D257" s="146"/>
    </row>
    <row r="258" spans="1:21" ht="15" x14ac:dyDescent="0.3">
      <c r="B258" s="60" t="s">
        <v>108</v>
      </c>
      <c r="C258" s="146" t="s">
        <v>353</v>
      </c>
      <c r="D258" s="146"/>
    </row>
    <row r="259" spans="1:21" ht="15" x14ac:dyDescent="0.3">
      <c r="B259" s="60" t="s">
        <v>153</v>
      </c>
      <c r="C259" s="146" t="s">
        <v>354</v>
      </c>
      <c r="D259" s="146"/>
    </row>
    <row r="260" spans="1:21" ht="15" x14ac:dyDescent="0.3">
      <c r="B260" s="60" t="s">
        <v>154</v>
      </c>
      <c r="C260" s="146" t="s">
        <v>355</v>
      </c>
      <c r="D260" s="146"/>
    </row>
    <row r="261" spans="1:21" ht="15" x14ac:dyDescent="0.3">
      <c r="B261" s="60" t="s">
        <v>248</v>
      </c>
      <c r="C261" s="146" t="s">
        <v>356</v>
      </c>
      <c r="D261" s="146"/>
    </row>
    <row r="262" spans="1:21" s="20" customFormat="1" x14ac:dyDescent="0.3">
      <c r="C262" s="26"/>
    </row>
    <row r="263" spans="1:21" ht="16.2" x14ac:dyDescent="0.35">
      <c r="A263" s="5" t="s">
        <v>371</v>
      </c>
    </row>
    <row r="264" spans="1:21" x14ac:dyDescent="0.3">
      <c r="B264" s="40" t="s">
        <v>372</v>
      </c>
    </row>
    <row r="265" spans="1:21" ht="15" x14ac:dyDescent="0.3">
      <c r="B265" s="41" t="s">
        <v>2</v>
      </c>
      <c r="C265" s="42" t="s">
        <v>3</v>
      </c>
      <c r="D265" s="41" t="s">
        <v>4</v>
      </c>
      <c r="E265" s="42" t="s">
        <v>552</v>
      </c>
      <c r="F265" s="15" t="s">
        <v>374</v>
      </c>
    </row>
    <row r="266" spans="1:21" ht="16.2" x14ac:dyDescent="0.3">
      <c r="B266" s="79" t="s">
        <v>5</v>
      </c>
      <c r="C266" s="45">
        <v>9999</v>
      </c>
      <c r="D266" s="79" t="s">
        <v>423</v>
      </c>
      <c r="E266" s="119"/>
    </row>
    <row r="267" spans="1:21" ht="16.2" x14ac:dyDescent="0.3">
      <c r="B267" s="79" t="s">
        <v>7</v>
      </c>
      <c r="C267" s="45">
        <v>35</v>
      </c>
      <c r="D267" s="79" t="s">
        <v>424</v>
      </c>
      <c r="E267" s="119"/>
      <c r="F267" s="15" t="s">
        <v>398</v>
      </c>
    </row>
    <row r="268" spans="1:21" ht="16.2" x14ac:dyDescent="0.3">
      <c r="B268" s="79" t="s">
        <v>9</v>
      </c>
      <c r="C268" s="45">
        <v>-12</v>
      </c>
      <c r="D268" s="79" t="s">
        <v>425</v>
      </c>
      <c r="E268" s="119"/>
      <c r="F268" s="15" t="s">
        <v>413</v>
      </c>
    </row>
    <row r="269" spans="1:21" ht="16.2" x14ac:dyDescent="0.3">
      <c r="B269" s="79" t="s">
        <v>11</v>
      </c>
      <c r="C269" s="45">
        <v>9999</v>
      </c>
      <c r="D269" s="79" t="s">
        <v>426</v>
      </c>
      <c r="E269" s="119"/>
    </row>
    <row r="270" spans="1:21" ht="17.399999999999999" x14ac:dyDescent="0.4">
      <c r="B270" s="79" t="s">
        <v>13</v>
      </c>
      <c r="C270" s="45">
        <v>9999</v>
      </c>
      <c r="D270" s="79" t="s">
        <v>427</v>
      </c>
      <c r="E270" s="119"/>
      <c r="F270" s="30" t="s">
        <v>481</v>
      </c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</row>
    <row r="271" spans="1:21" ht="16.2" x14ac:dyDescent="0.3">
      <c r="B271" s="79" t="s">
        <v>15</v>
      </c>
      <c r="C271" s="45">
        <v>0</v>
      </c>
      <c r="D271" s="79" t="s">
        <v>428</v>
      </c>
      <c r="E271" s="119"/>
    </row>
    <row r="272" spans="1:21" ht="18" x14ac:dyDescent="0.35">
      <c r="B272" s="17"/>
      <c r="C272" s="24"/>
      <c r="D272" s="17"/>
      <c r="F272" s="37" t="s">
        <v>412</v>
      </c>
    </row>
    <row r="273" spans="2:4" ht="15" x14ac:dyDescent="0.3">
      <c r="B273" s="41" t="s">
        <v>113</v>
      </c>
      <c r="C273" s="42" t="s">
        <v>3</v>
      </c>
      <c r="D273" s="41" t="s">
        <v>4</v>
      </c>
    </row>
    <row r="274" spans="2:4" ht="15" x14ac:dyDescent="0.3">
      <c r="B274" s="19" t="s">
        <v>37</v>
      </c>
      <c r="C274" s="25"/>
      <c r="D274" s="19" t="s">
        <v>338</v>
      </c>
    </row>
    <row r="275" spans="2:4" ht="15" x14ac:dyDescent="0.3">
      <c r="B275" s="17"/>
      <c r="C275" s="24"/>
      <c r="D275" s="17"/>
    </row>
    <row r="276" spans="2:4" ht="15" x14ac:dyDescent="0.3">
      <c r="B276" s="41" t="s">
        <v>31</v>
      </c>
      <c r="C276" s="154" t="s">
        <v>4</v>
      </c>
      <c r="D276" s="154"/>
    </row>
    <row r="277" spans="2:4" ht="15" x14ac:dyDescent="0.3">
      <c r="B277" s="19" t="s">
        <v>108</v>
      </c>
      <c r="C277" s="146" t="s">
        <v>373</v>
      </c>
      <c r="D277" s="146"/>
    </row>
    <row r="278" spans="2:4" ht="15" x14ac:dyDescent="0.3">
      <c r="B278" s="19" t="s">
        <v>153</v>
      </c>
      <c r="C278" s="146" t="s">
        <v>375</v>
      </c>
      <c r="D278" s="146"/>
    </row>
    <row r="279" spans="2:4" ht="15" x14ac:dyDescent="0.3">
      <c r="B279" s="19" t="s">
        <v>154</v>
      </c>
      <c r="C279" s="146" t="s">
        <v>376</v>
      </c>
      <c r="D279" s="146"/>
    </row>
    <row r="280" spans="2:4" ht="15" x14ac:dyDescent="0.3">
      <c r="B280" s="19" t="s">
        <v>248</v>
      </c>
      <c r="C280" s="146" t="s">
        <v>377</v>
      </c>
      <c r="D280" s="146"/>
    </row>
    <row r="281" spans="2:4" s="22" customFormat="1" x14ac:dyDescent="0.3">
      <c r="C281" s="27"/>
    </row>
    <row r="290" spans="8:8" x14ac:dyDescent="0.3">
      <c r="H290" s="28"/>
    </row>
  </sheetData>
  <mergeCells count="93">
    <mergeCell ref="C279:D279"/>
    <mergeCell ref="C280:D280"/>
    <mergeCell ref="C259:D259"/>
    <mergeCell ref="C260:D260"/>
    <mergeCell ref="C261:D261"/>
    <mergeCell ref="C276:D276"/>
    <mergeCell ref="C277:D277"/>
    <mergeCell ref="C278:D278"/>
    <mergeCell ref="C258:D258"/>
    <mergeCell ref="C228:D228"/>
    <mergeCell ref="C229:D229"/>
    <mergeCell ref="C230:D230"/>
    <mergeCell ref="C231:D231"/>
    <mergeCell ref="C233:D233"/>
    <mergeCell ref="C234:D234"/>
    <mergeCell ref="C235:D235"/>
    <mergeCell ref="C236:D236"/>
    <mergeCell ref="C254:D254"/>
    <mergeCell ref="C255:D255"/>
    <mergeCell ref="C257:D257"/>
    <mergeCell ref="C208:D208"/>
    <mergeCell ref="C183:D183"/>
    <mergeCell ref="C184:D184"/>
    <mergeCell ref="C198:D198"/>
    <mergeCell ref="C199:D199"/>
    <mergeCell ref="C200:D200"/>
    <mergeCell ref="C201:D201"/>
    <mergeCell ref="C202:D202"/>
    <mergeCell ref="C204:D204"/>
    <mergeCell ref="C205:D205"/>
    <mergeCell ref="C206:D206"/>
    <mergeCell ref="C207:D207"/>
    <mergeCell ref="C182:D182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70:D170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8:D168"/>
    <mergeCell ref="C169:D169"/>
    <mergeCell ref="C157:D157"/>
    <mergeCell ref="B140:B142"/>
    <mergeCell ref="C140:C142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58:D58"/>
    <mergeCell ref="C59:D59"/>
    <mergeCell ref="B134:B135"/>
    <mergeCell ref="C134:C135"/>
    <mergeCell ref="B136:B137"/>
    <mergeCell ref="C136:C137"/>
    <mergeCell ref="C57:D57"/>
    <mergeCell ref="A10:B10"/>
    <mergeCell ref="A11:B11"/>
    <mergeCell ref="D13:D19"/>
    <mergeCell ref="A21:D21"/>
    <mergeCell ref="B47:B49"/>
    <mergeCell ref="C47:C49"/>
    <mergeCell ref="C51:D51"/>
    <mergeCell ref="C52:D52"/>
    <mergeCell ref="C53:D53"/>
    <mergeCell ref="C54:D54"/>
    <mergeCell ref="C56:D56"/>
    <mergeCell ref="A9:B9"/>
    <mergeCell ref="A6:D6"/>
    <mergeCell ref="A7:B7"/>
    <mergeCell ref="A8:B8"/>
    <mergeCell ref="B2:C2"/>
    <mergeCell ref="B3:C3"/>
    <mergeCell ref="B4:C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SOLAR&amp;WIND-TYPE4</vt:lpstr>
      <vt:lpstr>WIND-TYPE3 CHO KB BDCS</vt:lpstr>
      <vt:lpstr>WIND-TYPE3 CHO KB NGAN MACH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2019-12-16T06:57:57Z</dcterms:modified>
</cp:coreProperties>
</file>